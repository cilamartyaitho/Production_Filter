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2"/>
  </bookViews>
  <sheets>
    <sheet name="Sheet1" sheetId="1" r:id="rId1"/>
    <sheet name="Total_Salable_Prod" sheetId="2" r:id="rId2"/>
    <sheet name="Product_Wis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B6" i="3" l="1"/>
  <c r="AC6" i="3"/>
  <c r="AD6" i="3"/>
  <c r="AE6" i="3"/>
  <c r="AE31" i="3" s="1"/>
  <c r="AF6" i="3"/>
  <c r="AB29" i="3"/>
  <c r="AC29" i="3"/>
  <c r="AC31" i="3" s="1"/>
  <c r="AD29" i="3"/>
  <c r="AD31" i="3" s="1"/>
  <c r="AE29" i="3"/>
  <c r="AF29" i="3"/>
  <c r="AB36" i="3"/>
  <c r="AC36" i="3"/>
  <c r="AD36" i="3"/>
  <c r="AE36" i="3"/>
  <c r="AF36" i="3"/>
  <c r="AB47" i="3"/>
  <c r="AC47" i="3"/>
  <c r="AD47" i="3"/>
  <c r="AE47" i="3"/>
  <c r="AF47" i="3"/>
  <c r="AB71" i="3"/>
  <c r="AC71" i="3"/>
  <c r="AC72" i="3" s="1"/>
  <c r="AD71" i="3"/>
  <c r="AE71" i="3"/>
  <c r="AF71" i="3"/>
  <c r="AF72" i="3" s="1"/>
  <c r="AB72" i="3"/>
  <c r="AE72" i="3"/>
  <c r="AB88" i="3"/>
  <c r="AB91" i="3" s="1"/>
  <c r="AC88" i="3"/>
  <c r="AD89" i="3" s="1"/>
  <c r="AD88" i="3"/>
  <c r="AE88" i="3"/>
  <c r="AE91" i="3" s="1"/>
  <c r="AF88" i="3"/>
  <c r="AF89" i="3" s="1"/>
  <c r="AC89" i="3"/>
  <c r="AD91" i="3"/>
  <c r="Y91" i="3"/>
  <c r="M91" i="3"/>
  <c r="AA88" i="3"/>
  <c r="Z88" i="3"/>
  <c r="Z89" i="3" s="1"/>
  <c r="Y88" i="3"/>
  <c r="X88" i="3"/>
  <c r="W88" i="3"/>
  <c r="X89" i="3" s="1"/>
  <c r="V88" i="3"/>
  <c r="U88" i="3"/>
  <c r="V89" i="3" s="1"/>
  <c r="T88" i="3"/>
  <c r="S88" i="3"/>
  <c r="R88" i="3"/>
  <c r="Q88" i="3"/>
  <c r="R89" i="3" s="1"/>
  <c r="P88" i="3"/>
  <c r="O88" i="3"/>
  <c r="N88" i="3"/>
  <c r="N89" i="3" s="1"/>
  <c r="M88" i="3"/>
  <c r="L88" i="3"/>
  <c r="K88" i="3"/>
  <c r="J88" i="3"/>
  <c r="I88" i="3"/>
  <c r="H88" i="3"/>
  <c r="G88" i="3"/>
  <c r="F88" i="3"/>
  <c r="F89" i="3" s="1"/>
  <c r="E88" i="3"/>
  <c r="D88" i="3"/>
  <c r="C88" i="3"/>
  <c r="B88" i="3"/>
  <c r="AA71" i="3"/>
  <c r="AA91" i="3" s="1"/>
  <c r="Z71" i="3"/>
  <c r="Z72" i="3" s="1"/>
  <c r="Y71" i="3"/>
  <c r="X71" i="3"/>
  <c r="Y72" i="3" s="1"/>
  <c r="W71" i="3"/>
  <c r="W91" i="3" s="1"/>
  <c r="V71" i="3"/>
  <c r="V72" i="3" s="1"/>
  <c r="U71" i="3"/>
  <c r="U91" i="3" s="1"/>
  <c r="T71" i="3"/>
  <c r="T72" i="3" s="1"/>
  <c r="S71" i="3"/>
  <c r="S91" i="3" s="1"/>
  <c r="R71" i="3"/>
  <c r="R91" i="3" s="1"/>
  <c r="S93" i="3" s="1"/>
  <c r="Q71" i="3"/>
  <c r="Q91" i="3" s="1"/>
  <c r="P71" i="3"/>
  <c r="Q72" i="3" s="1"/>
  <c r="O71" i="3"/>
  <c r="O91" i="3" s="1"/>
  <c r="N71" i="3"/>
  <c r="M71" i="3"/>
  <c r="L71" i="3"/>
  <c r="M72" i="3" s="1"/>
  <c r="K71" i="3"/>
  <c r="K91" i="3" s="1"/>
  <c r="J71" i="3"/>
  <c r="J91" i="3" s="1"/>
  <c r="K93" i="3" s="1"/>
  <c r="I71" i="3"/>
  <c r="I91" i="3" s="1"/>
  <c r="H71" i="3"/>
  <c r="I72" i="3" s="1"/>
  <c r="G71" i="3"/>
  <c r="G91" i="3" s="1"/>
  <c r="F71" i="3"/>
  <c r="E71" i="3"/>
  <c r="E91" i="3" s="1"/>
  <c r="D71" i="3"/>
  <c r="E72" i="3" s="1"/>
  <c r="C71" i="3"/>
  <c r="C91" i="3" s="1"/>
  <c r="B71" i="3"/>
  <c r="B91" i="3" s="1"/>
  <c r="C93" i="3" s="1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J47" i="3"/>
  <c r="F47" i="3"/>
  <c r="E47" i="3"/>
  <c r="D47" i="3"/>
  <c r="C47" i="3"/>
  <c r="B47" i="3"/>
  <c r="M47" i="3"/>
  <c r="L47" i="3"/>
  <c r="K47" i="3"/>
  <c r="I47" i="3"/>
  <c r="H47" i="3"/>
  <c r="G47" i="3"/>
  <c r="AA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A29" i="3"/>
  <c r="Z29" i="3"/>
  <c r="Y29" i="3"/>
  <c r="Y49" i="3" s="1"/>
  <c r="X29" i="3"/>
  <c r="X49" i="3" s="1"/>
  <c r="W29" i="3"/>
  <c r="V29" i="3"/>
  <c r="U29" i="3"/>
  <c r="U49" i="3" s="1"/>
  <c r="T29" i="3"/>
  <c r="T49" i="3" s="1"/>
  <c r="S29" i="3"/>
  <c r="R29" i="3"/>
  <c r="Q29" i="3"/>
  <c r="Q49" i="3" s="1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C29" i="3"/>
  <c r="B29" i="3"/>
  <c r="AA6" i="3"/>
  <c r="AA31" i="3" s="1"/>
  <c r="Z6" i="3"/>
  <c r="Z31" i="3" s="1"/>
  <c r="Y6" i="3"/>
  <c r="X6" i="3"/>
  <c r="W6" i="3"/>
  <c r="W31" i="3" s="1"/>
  <c r="V6" i="3"/>
  <c r="V31" i="3" s="1"/>
  <c r="U6" i="3"/>
  <c r="T6" i="3"/>
  <c r="S6" i="3"/>
  <c r="S31" i="3" s="1"/>
  <c r="R6" i="3"/>
  <c r="R31" i="3" s="1"/>
  <c r="Q6" i="3"/>
  <c r="P6" i="3"/>
  <c r="O6" i="3"/>
  <c r="N6" i="3"/>
  <c r="N31" i="3" s="1"/>
  <c r="M6" i="3"/>
  <c r="L6" i="3"/>
  <c r="K6" i="3"/>
  <c r="J6" i="3"/>
  <c r="J31" i="3" s="1"/>
  <c r="I6" i="3"/>
  <c r="H6" i="3"/>
  <c r="G6" i="3"/>
  <c r="F6" i="3"/>
  <c r="F31" i="3" s="1"/>
  <c r="E6" i="3"/>
  <c r="D6" i="3"/>
  <c r="C6" i="3"/>
  <c r="B6" i="3"/>
  <c r="B31" i="3" s="1"/>
  <c r="S89" i="3" l="1"/>
  <c r="AE49" i="3"/>
  <c r="T31" i="3"/>
  <c r="X31" i="3"/>
  <c r="N49" i="3"/>
  <c r="R49" i="3"/>
  <c r="V49" i="3"/>
  <c r="Z49" i="3"/>
  <c r="U72" i="3"/>
  <c r="T91" i="3"/>
  <c r="U93" i="3" s="1"/>
  <c r="X91" i="3"/>
  <c r="Y93" i="3" s="1"/>
  <c r="AC91" i="3"/>
  <c r="AD93" i="3" s="1"/>
  <c r="AC49" i="3"/>
  <c r="AD49" i="3"/>
  <c r="AA89" i="3"/>
  <c r="E31" i="3"/>
  <c r="I31" i="3"/>
  <c r="M31" i="3"/>
  <c r="Q31" i="3"/>
  <c r="U31" i="3"/>
  <c r="Y31" i="3"/>
  <c r="O49" i="3"/>
  <c r="S49" i="3"/>
  <c r="W49" i="3"/>
  <c r="AA49" i="3"/>
  <c r="J89" i="3"/>
  <c r="AD72" i="3"/>
  <c r="AF49" i="3"/>
  <c r="AB49" i="3"/>
  <c r="AF31" i="3"/>
  <c r="AB31" i="3"/>
  <c r="AE93" i="3"/>
  <c r="AB93" i="3"/>
  <c r="AB89" i="3"/>
  <c r="AF91" i="3"/>
  <c r="AE89" i="3"/>
  <c r="D89" i="3"/>
  <c r="H89" i="3"/>
  <c r="K89" i="3"/>
  <c r="P89" i="3"/>
  <c r="H91" i="3"/>
  <c r="I93" i="3" s="1"/>
  <c r="L91" i="3"/>
  <c r="M93" i="3" s="1"/>
  <c r="F72" i="3"/>
  <c r="N72" i="3"/>
  <c r="D91" i="3"/>
  <c r="E93" i="3" s="1"/>
  <c r="P91" i="3"/>
  <c r="Q93" i="3" s="1"/>
  <c r="B49" i="3"/>
  <c r="F49" i="3"/>
  <c r="J49" i="3"/>
  <c r="C49" i="3"/>
  <c r="D49" i="3"/>
  <c r="P49" i="3"/>
  <c r="E49" i="3"/>
  <c r="C31" i="3"/>
  <c r="G31" i="3"/>
  <c r="K31" i="3"/>
  <c r="O31" i="3"/>
  <c r="D31" i="3"/>
  <c r="H31" i="3"/>
  <c r="L31" i="3"/>
  <c r="P31" i="3"/>
  <c r="V93" i="3"/>
  <c r="G49" i="3"/>
  <c r="K49" i="3"/>
  <c r="J93" i="3"/>
  <c r="H49" i="3"/>
  <c r="L49" i="3"/>
  <c r="T93" i="3"/>
  <c r="I49" i="3"/>
  <c r="M49" i="3"/>
  <c r="R93" i="3"/>
  <c r="J72" i="3"/>
  <c r="R72" i="3"/>
  <c r="C89" i="3"/>
  <c r="G89" i="3"/>
  <c r="O89" i="3"/>
  <c r="W89" i="3"/>
  <c r="C72" i="3"/>
  <c r="G72" i="3"/>
  <c r="K72" i="3"/>
  <c r="O72" i="3"/>
  <c r="S72" i="3"/>
  <c r="W72" i="3"/>
  <c r="AA72" i="3"/>
  <c r="L89" i="3"/>
  <c r="T89" i="3"/>
  <c r="F91" i="3"/>
  <c r="G93" i="3" s="1"/>
  <c r="N91" i="3"/>
  <c r="O93" i="3" s="1"/>
  <c r="V91" i="3"/>
  <c r="W93" i="3" s="1"/>
  <c r="Z91" i="3"/>
  <c r="D72" i="3"/>
  <c r="H72" i="3"/>
  <c r="L72" i="3"/>
  <c r="P72" i="3"/>
  <c r="X72" i="3"/>
  <c r="E89" i="3"/>
  <c r="I89" i="3"/>
  <c r="M89" i="3"/>
  <c r="Q89" i="3"/>
  <c r="U89" i="3"/>
  <c r="Y89" i="3"/>
  <c r="X93" i="3" l="1"/>
  <c r="AC93" i="3"/>
  <c r="AF93" i="3"/>
  <c r="P93" i="3"/>
  <c r="L93" i="3"/>
  <c r="H93" i="3"/>
  <c r="D93" i="3"/>
  <c r="AA93" i="3"/>
  <c r="Z93" i="3"/>
  <c r="F93" i="3"/>
  <c r="N93" i="3"/>
  <c r="F28" i="2" l="1"/>
  <c r="G28" i="2"/>
  <c r="F29" i="2"/>
  <c r="G29" i="2"/>
  <c r="F30" i="2"/>
  <c r="G30" i="2"/>
  <c r="F31" i="2"/>
  <c r="G31" i="2"/>
  <c r="F32" i="2"/>
  <c r="G32" i="2"/>
  <c r="G27" i="2"/>
  <c r="F27" i="2"/>
  <c r="G26" i="2"/>
  <c r="F26" i="2"/>
  <c r="G25" i="2"/>
  <c r="F25" i="2"/>
  <c r="G24" i="2"/>
  <c r="F24" i="2"/>
  <c r="G23" i="2"/>
  <c r="F23" i="2"/>
  <c r="G22" i="2"/>
  <c r="F22" i="2"/>
  <c r="G21" i="2"/>
  <c r="F21" i="2"/>
  <c r="G20" i="2"/>
  <c r="F20" i="2"/>
  <c r="G19" i="2"/>
  <c r="F19" i="2"/>
  <c r="G18" i="2"/>
  <c r="F18" i="2"/>
  <c r="G17" i="2"/>
  <c r="F17" i="2"/>
  <c r="G16" i="2"/>
  <c r="F16" i="2"/>
  <c r="G15" i="2"/>
  <c r="F15" i="2"/>
  <c r="G14" i="2"/>
  <c r="F14" i="2"/>
  <c r="G13" i="2"/>
  <c r="F13" i="2"/>
  <c r="G12" i="2"/>
  <c r="F12" i="2"/>
  <c r="G11" i="2"/>
  <c r="F11" i="2"/>
  <c r="G10" i="2"/>
  <c r="F10" i="2"/>
  <c r="G9" i="2"/>
  <c r="F9" i="2"/>
  <c r="G8" i="2"/>
  <c r="F8" i="2"/>
  <c r="G7" i="2"/>
  <c r="F7" i="2"/>
  <c r="G6" i="2"/>
  <c r="F6" i="2"/>
  <c r="G5" i="2"/>
  <c r="F5" i="2"/>
  <c r="G4" i="2"/>
  <c r="F4" i="2"/>
  <c r="G3" i="2"/>
  <c r="F3" i="2"/>
  <c r="G2" i="2"/>
  <c r="F2" i="2"/>
  <c r="D29" i="1"/>
  <c r="AS29" i="1"/>
  <c r="D30" i="1"/>
  <c r="AS30" i="1"/>
  <c r="D31" i="1"/>
  <c r="AS31" i="1"/>
  <c r="D32" i="1"/>
  <c r="AS32" i="1"/>
  <c r="D28" i="1"/>
  <c r="AS28" i="1"/>
  <c r="AS27" i="1"/>
  <c r="D27" i="1"/>
  <c r="AS26" i="1"/>
  <c r="D26" i="1"/>
  <c r="AS25" i="1"/>
  <c r="D25" i="1"/>
  <c r="AS24" i="1"/>
  <c r="D24" i="1"/>
  <c r="AS23" i="1"/>
  <c r="D23" i="1"/>
  <c r="AS22" i="1"/>
  <c r="D22" i="1"/>
  <c r="AS21" i="1"/>
  <c r="D21" i="1"/>
  <c r="AS20" i="1"/>
  <c r="D20" i="1"/>
  <c r="AS19" i="1"/>
  <c r="D19" i="1"/>
  <c r="AS18" i="1"/>
  <c r="D18" i="1"/>
  <c r="AS17" i="1"/>
  <c r="D17" i="1"/>
  <c r="AS16" i="1"/>
  <c r="D16" i="1"/>
  <c r="AS15" i="1"/>
  <c r="D15" i="1"/>
  <c r="AS14" i="1"/>
  <c r="D14" i="1"/>
  <c r="AS13" i="1"/>
  <c r="D13" i="1"/>
  <c r="AS12" i="1"/>
  <c r="D12" i="1"/>
  <c r="AS11" i="1"/>
  <c r="D11" i="1"/>
  <c r="AS10" i="1"/>
  <c r="D10" i="1"/>
  <c r="AS9" i="1"/>
  <c r="D9" i="1"/>
  <c r="AS8" i="1"/>
  <c r="D8" i="1"/>
  <c r="AS7" i="1"/>
  <c r="D7" i="1"/>
  <c r="AS6" i="1"/>
  <c r="D6" i="1"/>
  <c r="AS5" i="1"/>
  <c r="D5" i="1"/>
  <c r="AS4" i="1"/>
  <c r="D4" i="1"/>
  <c r="AS3" i="1"/>
  <c r="D3" i="1"/>
  <c r="AS2" i="1"/>
  <c r="D2" i="1"/>
  <c r="G34" i="2" l="1"/>
</calcChain>
</file>

<file path=xl/sharedStrings.xml><?xml version="1.0" encoding="utf-8"?>
<sst xmlns="http://schemas.openxmlformats.org/spreadsheetml/2006/main" count="125" uniqueCount="108">
  <si>
    <t>DATE</t>
  </si>
  <si>
    <t>JUTE ISSUE</t>
  </si>
  <si>
    <t>WASTAGE CONSUM</t>
  </si>
  <si>
    <t>TOTAL</t>
  </si>
  <si>
    <t>SPINNING PROD</t>
  </si>
  <si>
    <t>TWISTING PROD</t>
  </si>
  <si>
    <t xml:space="preserve">TWISTING PACKED </t>
  </si>
  <si>
    <t>TWISTING LOOSE</t>
  </si>
  <si>
    <t>TWISTING SALE</t>
  </si>
  <si>
    <t>TWISTING INCREASE / DECREASE</t>
  </si>
  <si>
    <t>HESSAIN PROD.</t>
  </si>
  <si>
    <t>HESSAIN LOOSE</t>
  </si>
  <si>
    <t xml:space="preserve">HESSAIN PACKED </t>
  </si>
  <si>
    <t>HESSAIN SALE</t>
  </si>
  <si>
    <t>HESSAIN INCREASE / DECREASE</t>
  </si>
  <si>
    <t>BROAD LOOM/CBC PROD.</t>
  </si>
  <si>
    <t>BROAD LOOM/CBC LOOSE</t>
  </si>
  <si>
    <t>BROAD LOOM/CBC PACKED</t>
  </si>
  <si>
    <t>BROAD LOOM/CBC SALE</t>
  </si>
  <si>
    <t>BROAD LOOM/CBC INCREASE/DECREASE</t>
  </si>
  <si>
    <t>SACKING PROD.</t>
  </si>
  <si>
    <t>SACKING LOOSE</t>
  </si>
  <si>
    <t xml:space="preserve">SACKING PACKED </t>
  </si>
  <si>
    <t>SACKING SALE</t>
  </si>
  <si>
    <t>SACKING INCREASE / DECREASE</t>
  </si>
  <si>
    <t>JUTE WEBBING PROD.</t>
  </si>
  <si>
    <t>JUTE WEBBING LOOSE</t>
  </si>
  <si>
    <t xml:space="preserve">JUTE WEBBING PACKED </t>
  </si>
  <si>
    <t>JUTE WEBBING SALE</t>
  </si>
  <si>
    <t>JUTE WEBBING INCREASE / DECREASE</t>
  </si>
  <si>
    <t>SULZER PROD.</t>
  </si>
  <si>
    <t>SULZER LOOSE</t>
  </si>
  <si>
    <t xml:space="preserve">SULZER PACKED </t>
  </si>
  <si>
    <t>SULZER SALE</t>
  </si>
  <si>
    <t>SULZER INCREASE / DECREASE</t>
  </si>
  <si>
    <t>SOIL SAVAR PROD.</t>
  </si>
  <si>
    <t>SOIL SAVAR LOOSE</t>
  </si>
  <si>
    <t xml:space="preserve">SOIL SAVAR PACKED </t>
  </si>
  <si>
    <t>SOIL SAVAR SALE</t>
  </si>
  <si>
    <t>SOIL SAVAR INCREASE / DECREASE</t>
  </si>
  <si>
    <t>WINDING WEAVING DIFF</t>
  </si>
  <si>
    <t>SPOOL WINDING STOCK</t>
  </si>
  <si>
    <t>COP WINDING STOCK</t>
  </si>
  <si>
    <t>INCREASE / DECREASE</t>
  </si>
  <si>
    <t>WEAVING PROD.</t>
  </si>
  <si>
    <t>TAW ROLL PROD.(FOR SALE)</t>
  </si>
  <si>
    <t xml:space="preserve">14/10 &amp; 36 lbs SALE YARN </t>
  </si>
  <si>
    <t>TOTAL SALABLE PROD.</t>
  </si>
  <si>
    <t>WITH OUT TAW ROLL PROD.</t>
  </si>
  <si>
    <t>Total</t>
  </si>
  <si>
    <t>Jute Issue</t>
  </si>
  <si>
    <t>Wastage Use</t>
  </si>
  <si>
    <t>Spinning prod</t>
  </si>
  <si>
    <t>Number of frames</t>
  </si>
  <si>
    <t>8 lbs H/Weft</t>
  </si>
  <si>
    <t>8.5  lbs H/Wrap</t>
  </si>
  <si>
    <t>9.5 lbs S/T</t>
  </si>
  <si>
    <t>10 lbs Skg/Warp</t>
  </si>
  <si>
    <t>10 lbs Sale Yarn</t>
  </si>
  <si>
    <t>10.5 lbs Sale Yarn</t>
  </si>
  <si>
    <t>14 Lbs Skg/Warp</t>
  </si>
  <si>
    <t>20 lbs 1 Ply Skg/Weft</t>
  </si>
  <si>
    <t>14 lbs  Sale Yarn</t>
  </si>
  <si>
    <t>28 lbs  Sale Yarn</t>
  </si>
  <si>
    <t>28 lbs 1 Ply Skg/Weft</t>
  </si>
  <si>
    <t>36 lbs 1 Ply Skg/Weft</t>
  </si>
  <si>
    <t>25 Lbs Skg/Warp</t>
  </si>
  <si>
    <t>25 Lbs Skg/Weft</t>
  </si>
  <si>
    <t>36 lbs  Sale Yarn</t>
  </si>
  <si>
    <t>120 Soil Saver</t>
  </si>
  <si>
    <t>Difference</t>
  </si>
  <si>
    <t>Twisting Production</t>
  </si>
  <si>
    <t>9.5 lbs X 3 ply</t>
  </si>
  <si>
    <t>Weaving Production</t>
  </si>
  <si>
    <t>Hessain Weaving</t>
  </si>
  <si>
    <t>Broad Loom/CBC</t>
  </si>
  <si>
    <t>Jute Weaving</t>
  </si>
  <si>
    <t>Sacking Weaving</t>
  </si>
  <si>
    <t>Soil Saver</t>
  </si>
  <si>
    <t>Sulzer</t>
  </si>
  <si>
    <t>Spool Winding Stock</t>
  </si>
  <si>
    <t>7.5 Lbs H/Warp</t>
  </si>
  <si>
    <t>8.5 Lbs H/Warp</t>
  </si>
  <si>
    <t>8 Lbs H/Warp</t>
  </si>
  <si>
    <t>9.5 Lbs S/Twin</t>
  </si>
  <si>
    <t>10 Lbs Skg/Warp</t>
  </si>
  <si>
    <t>14 Lbs Skg/Warp(sale yarn)</t>
  </si>
  <si>
    <t>28 Lbs Skg/Warp</t>
  </si>
  <si>
    <t>28 Lbs Sale Yarn</t>
  </si>
  <si>
    <t>36 Lbs Sale Yarn</t>
  </si>
  <si>
    <t>10.5 Lbs Sale Yarn</t>
  </si>
  <si>
    <t>32 Lbs Sale Yarn</t>
  </si>
  <si>
    <t>28 Soil Saver Warp</t>
  </si>
  <si>
    <t>36 Soil Saver Warp</t>
  </si>
  <si>
    <t>120 Soil Saver Warp</t>
  </si>
  <si>
    <t>DAMAGE YARN</t>
  </si>
  <si>
    <t xml:space="preserve">Increase / Decrease </t>
  </si>
  <si>
    <t>Cop Winding Stock</t>
  </si>
  <si>
    <t>8.5 Lbs H/Weft</t>
  </si>
  <si>
    <t>10 Lbs Skg/Weft</t>
  </si>
  <si>
    <t>20 Lbs 1 Ply Skg/Weft</t>
  </si>
  <si>
    <t>22 Lbs 1 Ply Skg/Weft</t>
  </si>
  <si>
    <t>14 Lbs Skg/Weft</t>
  </si>
  <si>
    <t>28 Lbs Skg/Weft</t>
  </si>
  <si>
    <t>26 Lbs Skg/Weft</t>
  </si>
  <si>
    <t>120 Soil Saver Weft</t>
  </si>
  <si>
    <t>Others (colour, bleach cop)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</si>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</sst>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Bell MT"/>
      <family val="1"/>
    </font>
    <font>
      <u/>
      <sz val="20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14" fontId="1" fillId="0" borderId="2" xfId="0" applyNumberFormat="1" applyFont="1" applyBorder="1"/>
    <xf numFmtId="164" fontId="1" fillId="0" borderId="2" xfId="0" applyNumberFormat="1" applyFont="1" applyBorder="1" applyAlignment="1">
      <alignment horizontal="center"/>
    </xf>
    <xf numFmtId="164" fontId="1" fillId="0" borderId="6" xfId="0" applyNumberFormat="1" applyFont="1" applyFill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14" fontId="1" fillId="0" borderId="2" xfId="0" applyNumberFormat="1" applyFont="1" applyBorder="1" applyAlignment="1">
      <alignment horizontal="left"/>
    </xf>
    <xf numFmtId="0" fontId="0" fillId="0" borderId="0" xfId="0" applyAlignment="1">
      <alignment horizontal="left"/>
    </xf>
    <xf numFmtId="0" fontId="1" fillId="0" borderId="7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1" fillId="0" borderId="8" xfId="0" applyFont="1" applyBorder="1" applyAlignment="1">
      <alignment vertical="center" wrapText="1"/>
    </xf>
    <xf numFmtId="0" fontId="1" fillId="0" borderId="9" xfId="0" applyFont="1" applyBorder="1" applyAlignment="1">
      <alignment vertical="center" wrapText="1"/>
    </xf>
    <xf numFmtId="164" fontId="1" fillId="0" borderId="6" xfId="0" applyNumberFormat="1" applyFont="1" applyBorder="1"/>
    <xf numFmtId="164" fontId="1" fillId="0" borderId="0" xfId="0" applyNumberFormat="1" applyFont="1" applyBorder="1"/>
    <xf numFmtId="164" fontId="1" fillId="0" borderId="10" xfId="0" applyNumberFormat="1" applyFont="1" applyBorder="1"/>
    <xf numFmtId="164" fontId="1" fillId="0" borderId="2" xfId="0" applyNumberFormat="1" applyFont="1" applyBorder="1"/>
    <xf numFmtId="164" fontId="1" fillId="0" borderId="8" xfId="0" applyNumberFormat="1" applyFont="1" applyBorder="1"/>
    <xf numFmtId="164" fontId="1" fillId="0" borderId="9" xfId="0" applyNumberFormat="1" applyFont="1" applyBorder="1"/>
    <xf numFmtId="164" fontId="1" fillId="0" borderId="4" xfId="0" applyNumberFormat="1" applyFont="1" applyBorder="1"/>
    <xf numFmtId="164" fontId="1" fillId="0" borderId="11" xfId="0" applyNumberFormat="1" applyFont="1" applyBorder="1"/>
    <xf numFmtId="164" fontId="1" fillId="0" borderId="12" xfId="0" applyNumberFormat="1" applyFont="1" applyBorder="1"/>
    <xf numFmtId="0" fontId="1" fillId="0" borderId="2" xfId="0" applyFont="1" applyBorder="1"/>
    <xf numFmtId="0" fontId="1" fillId="0" borderId="13" xfId="0" applyFont="1" applyBorder="1"/>
    <xf numFmtId="164" fontId="1" fillId="0" borderId="14" xfId="0" applyNumberFormat="1" applyFont="1" applyFill="1" applyBorder="1"/>
    <xf numFmtId="0" fontId="5" fillId="0" borderId="2" xfId="0" applyFont="1" applyBorder="1" applyAlignment="1">
      <alignment horizontal="center"/>
    </xf>
    <xf numFmtId="16" fontId="1" fillId="0" borderId="2" xfId="0" applyNumberFormat="1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6" fillId="0" borderId="0" xfId="0" applyFont="1"/>
    <xf numFmtId="0" fontId="0" fillId="0" borderId="11" xfId="0" applyBorder="1"/>
    <xf numFmtId="0" fontId="1" fillId="0" borderId="2" xfId="0" applyNumberFormat="1" applyFont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2" xfId="0" applyNumberFormat="1" applyFont="1" applyFill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11" xfId="0" applyFont="1" applyBorder="1"/>
    <xf numFmtId="0" fontId="6" fillId="0" borderId="11" xfId="0" applyFont="1" applyBorder="1" applyAlignment="1">
      <alignment horizontal="center"/>
    </xf>
    <xf numFmtId="164" fontId="0" fillId="0" borderId="0" xfId="0" applyNumberFormat="1"/>
    <xf numFmtId="0" fontId="0" fillId="0" borderId="15" xfId="0" applyBorder="1"/>
    <xf numFmtId="0" fontId="1" fillId="0" borderId="0" xfId="0" applyFont="1"/>
    <xf numFmtId="164" fontId="1" fillId="0" borderId="6" xfId="0" applyNumberFormat="1" applyFont="1" applyBorder="1" applyAlignment="1">
      <alignment horizontal="center"/>
    </xf>
    <xf numFmtId="164" fontId="1" fillId="0" borderId="2" xfId="0" applyNumberFormat="1" applyFont="1" applyFill="1" applyBorder="1" applyAlignment="1">
      <alignment horizontal="center"/>
    </xf>
    <xf numFmtId="0" fontId="1" fillId="0" borderId="0" xfId="0" applyFont="1" applyBorder="1"/>
    <xf numFmtId="164" fontId="1" fillId="0" borderId="0" xfId="0" applyNumberFormat="1" applyFont="1"/>
    <xf numFmtId="164" fontId="1" fillId="0" borderId="0" xfId="0" applyNumberFormat="1" applyFont="1" applyFill="1" applyBorder="1" applyAlignment="1">
      <alignment horizontal="center"/>
    </xf>
    <xf numFmtId="164" fontId="1" fillId="0" borderId="4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241181</xdr:colOff>
      <xdr:row>85</xdr:row>
      <xdr:rowOff>7844</xdr:rowOff>
    </xdr:from>
    <xdr:to>
      <xdr:col>1</xdr:col>
      <xdr:colOff>363376</xdr:colOff>
      <xdr:row>86</xdr:row>
      <xdr:rowOff>179294</xdr:rowOff>
    </xdr:to>
    <xdr:sp macro="" textlink="">
      <xdr:nvSpPr>
        <xdr:cNvPr id="2" name="Down Arrow 1"/>
        <xdr:cNvSpPr/>
      </xdr:nvSpPr>
      <xdr:spPr>
        <a:xfrm>
          <a:off x="1869956" y="17629094"/>
          <a:ext cx="122195" cy="36195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185152</xdr:colOff>
      <xdr:row>68</xdr:row>
      <xdr:rowOff>9525</xdr:rowOff>
    </xdr:from>
    <xdr:to>
      <xdr:col>1</xdr:col>
      <xdr:colOff>307347</xdr:colOff>
      <xdr:row>69</xdr:row>
      <xdr:rowOff>190500</xdr:rowOff>
    </xdr:to>
    <xdr:sp macro="" textlink="">
      <xdr:nvSpPr>
        <xdr:cNvPr id="3" name="Down Arrow 2"/>
        <xdr:cNvSpPr/>
      </xdr:nvSpPr>
      <xdr:spPr>
        <a:xfrm>
          <a:off x="1813927" y="14116050"/>
          <a:ext cx="122195" cy="37147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245840</xdr:colOff>
      <xdr:row>44</xdr:row>
      <xdr:rowOff>9755</xdr:rowOff>
    </xdr:from>
    <xdr:to>
      <xdr:col>1</xdr:col>
      <xdr:colOff>374406</xdr:colOff>
      <xdr:row>45</xdr:row>
      <xdr:rowOff>171220</xdr:rowOff>
    </xdr:to>
    <xdr:sp macro="" textlink="">
      <xdr:nvSpPr>
        <xdr:cNvPr id="4" name="Down Arrow 3"/>
        <xdr:cNvSpPr/>
      </xdr:nvSpPr>
      <xdr:spPr>
        <a:xfrm>
          <a:off x="1874615" y="9201380"/>
          <a:ext cx="128566" cy="3519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254580</xdr:colOff>
      <xdr:row>34</xdr:row>
      <xdr:rowOff>9091</xdr:rowOff>
    </xdr:from>
    <xdr:to>
      <xdr:col>1</xdr:col>
      <xdr:colOff>365666</xdr:colOff>
      <xdr:row>34</xdr:row>
      <xdr:rowOff>190933</xdr:rowOff>
    </xdr:to>
    <xdr:sp macro="" textlink="">
      <xdr:nvSpPr>
        <xdr:cNvPr id="5" name="Down Arrow 4"/>
        <xdr:cNvSpPr/>
      </xdr:nvSpPr>
      <xdr:spPr>
        <a:xfrm>
          <a:off x="1883355" y="7067116"/>
          <a:ext cx="111086" cy="1818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204202</xdr:colOff>
      <xdr:row>26</xdr:row>
      <xdr:rowOff>10220</xdr:rowOff>
    </xdr:from>
    <xdr:to>
      <xdr:col>1</xdr:col>
      <xdr:colOff>326397</xdr:colOff>
      <xdr:row>27</xdr:row>
      <xdr:rowOff>180280</xdr:rowOff>
    </xdr:to>
    <xdr:sp macro="" textlink="">
      <xdr:nvSpPr>
        <xdr:cNvPr id="6" name="Down Arrow 5"/>
        <xdr:cNvSpPr/>
      </xdr:nvSpPr>
      <xdr:spPr>
        <a:xfrm>
          <a:off x="1832977" y="5344220"/>
          <a:ext cx="122195" cy="36056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237213</xdr:colOff>
      <xdr:row>3</xdr:row>
      <xdr:rowOff>30623</xdr:rowOff>
    </xdr:from>
    <xdr:to>
      <xdr:col>1</xdr:col>
      <xdr:colOff>348299</xdr:colOff>
      <xdr:row>4</xdr:row>
      <xdr:rowOff>182288</xdr:rowOff>
    </xdr:to>
    <xdr:sp macro="" textlink="">
      <xdr:nvSpPr>
        <xdr:cNvPr id="7" name="Down Arrow 6"/>
        <xdr:cNvSpPr/>
      </xdr:nvSpPr>
      <xdr:spPr>
        <a:xfrm>
          <a:off x="1865988" y="640223"/>
          <a:ext cx="111086" cy="3421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225491</xdr:colOff>
      <xdr:row>89</xdr:row>
      <xdr:rowOff>10262</xdr:rowOff>
    </xdr:from>
    <xdr:to>
      <xdr:col>1</xdr:col>
      <xdr:colOff>347686</xdr:colOff>
      <xdr:row>89</xdr:row>
      <xdr:rowOff>179114</xdr:rowOff>
    </xdr:to>
    <xdr:sp macro="" textlink="">
      <xdr:nvSpPr>
        <xdr:cNvPr id="8" name="Down Arrow 7"/>
        <xdr:cNvSpPr/>
      </xdr:nvSpPr>
      <xdr:spPr>
        <a:xfrm>
          <a:off x="1854266" y="18422087"/>
          <a:ext cx="122195" cy="16885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</xdr:col>
      <xdr:colOff>221007</xdr:colOff>
      <xdr:row>91</xdr:row>
      <xdr:rowOff>5782</xdr:rowOff>
    </xdr:from>
    <xdr:to>
      <xdr:col>1</xdr:col>
      <xdr:colOff>343202</xdr:colOff>
      <xdr:row>91</xdr:row>
      <xdr:rowOff>174634</xdr:rowOff>
    </xdr:to>
    <xdr:sp macro="" textlink="">
      <xdr:nvSpPr>
        <xdr:cNvPr id="9" name="Down Arrow 8"/>
        <xdr:cNvSpPr/>
      </xdr:nvSpPr>
      <xdr:spPr>
        <a:xfrm>
          <a:off x="1849782" y="18817657"/>
          <a:ext cx="122195" cy="16885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199110</xdr:colOff>
      <xdr:row>3</xdr:row>
      <xdr:rowOff>9030</xdr:rowOff>
    </xdr:from>
    <xdr:to>
      <xdr:col>2</xdr:col>
      <xdr:colOff>310196</xdr:colOff>
      <xdr:row>4</xdr:row>
      <xdr:rowOff>194912</xdr:rowOff>
    </xdr:to>
    <xdr:sp macro="" textlink="">
      <xdr:nvSpPr>
        <xdr:cNvPr id="10" name="Down Arrow 9"/>
        <xdr:cNvSpPr/>
      </xdr:nvSpPr>
      <xdr:spPr>
        <a:xfrm>
          <a:off x="2437485" y="618630"/>
          <a:ext cx="111086" cy="37638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183422</xdr:colOff>
      <xdr:row>3</xdr:row>
      <xdr:rowOff>4546</xdr:rowOff>
    </xdr:from>
    <xdr:to>
      <xdr:col>3</xdr:col>
      <xdr:colOff>294508</xdr:colOff>
      <xdr:row>4</xdr:row>
      <xdr:rowOff>190428</xdr:rowOff>
    </xdr:to>
    <xdr:sp macro="" textlink="">
      <xdr:nvSpPr>
        <xdr:cNvPr id="11" name="Down Arrow 10"/>
        <xdr:cNvSpPr/>
      </xdr:nvSpPr>
      <xdr:spPr>
        <a:xfrm>
          <a:off x="3031397" y="614146"/>
          <a:ext cx="111086" cy="37638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190144</xdr:colOff>
      <xdr:row>3</xdr:row>
      <xdr:rowOff>64</xdr:rowOff>
    </xdr:from>
    <xdr:to>
      <xdr:col>4</xdr:col>
      <xdr:colOff>301230</xdr:colOff>
      <xdr:row>4</xdr:row>
      <xdr:rowOff>185946</xdr:rowOff>
    </xdr:to>
    <xdr:sp macro="" textlink="">
      <xdr:nvSpPr>
        <xdr:cNvPr id="12" name="Down Arrow 11"/>
        <xdr:cNvSpPr/>
      </xdr:nvSpPr>
      <xdr:spPr>
        <a:xfrm>
          <a:off x="3647719" y="609664"/>
          <a:ext cx="111086" cy="37638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174455</xdr:colOff>
      <xdr:row>2</xdr:row>
      <xdr:rowOff>197286</xdr:rowOff>
    </xdr:from>
    <xdr:to>
      <xdr:col>5</xdr:col>
      <xdr:colOff>285541</xdr:colOff>
      <xdr:row>4</xdr:row>
      <xdr:rowOff>181462</xdr:rowOff>
    </xdr:to>
    <xdr:sp macro="" textlink="">
      <xdr:nvSpPr>
        <xdr:cNvPr id="13" name="Down Arrow 12"/>
        <xdr:cNvSpPr/>
      </xdr:nvSpPr>
      <xdr:spPr>
        <a:xfrm>
          <a:off x="4241630" y="606861"/>
          <a:ext cx="111086" cy="37470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192386</xdr:colOff>
      <xdr:row>3</xdr:row>
      <xdr:rowOff>19411</xdr:rowOff>
    </xdr:from>
    <xdr:to>
      <xdr:col>6</xdr:col>
      <xdr:colOff>303472</xdr:colOff>
      <xdr:row>4</xdr:row>
      <xdr:rowOff>171076</xdr:rowOff>
    </xdr:to>
    <xdr:sp macro="" textlink="">
      <xdr:nvSpPr>
        <xdr:cNvPr id="14" name="Down Arrow 13"/>
        <xdr:cNvSpPr/>
      </xdr:nvSpPr>
      <xdr:spPr>
        <a:xfrm>
          <a:off x="4869161" y="629011"/>
          <a:ext cx="111086" cy="3421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176699</xdr:colOff>
      <xdr:row>3</xdr:row>
      <xdr:rowOff>26133</xdr:rowOff>
    </xdr:from>
    <xdr:to>
      <xdr:col>7</xdr:col>
      <xdr:colOff>287785</xdr:colOff>
      <xdr:row>4</xdr:row>
      <xdr:rowOff>177798</xdr:rowOff>
    </xdr:to>
    <xdr:sp macro="" textlink="">
      <xdr:nvSpPr>
        <xdr:cNvPr id="15" name="Down Arrow 14"/>
        <xdr:cNvSpPr/>
      </xdr:nvSpPr>
      <xdr:spPr>
        <a:xfrm>
          <a:off x="5463074" y="635733"/>
          <a:ext cx="111086" cy="3421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192388</xdr:colOff>
      <xdr:row>26</xdr:row>
      <xdr:rowOff>13514</xdr:rowOff>
    </xdr:from>
    <xdr:to>
      <xdr:col>2</xdr:col>
      <xdr:colOff>303474</xdr:colOff>
      <xdr:row>27</xdr:row>
      <xdr:rowOff>199396</xdr:rowOff>
    </xdr:to>
    <xdr:sp macro="" textlink="">
      <xdr:nvSpPr>
        <xdr:cNvPr id="16" name="Down Arrow 15"/>
        <xdr:cNvSpPr/>
      </xdr:nvSpPr>
      <xdr:spPr>
        <a:xfrm>
          <a:off x="2430763" y="5347514"/>
          <a:ext cx="111086" cy="37638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221521</xdr:colOff>
      <xdr:row>26</xdr:row>
      <xdr:rowOff>9030</xdr:rowOff>
    </xdr:from>
    <xdr:to>
      <xdr:col>3</xdr:col>
      <xdr:colOff>332607</xdr:colOff>
      <xdr:row>27</xdr:row>
      <xdr:rowOff>194912</xdr:rowOff>
    </xdr:to>
    <xdr:sp macro="" textlink="">
      <xdr:nvSpPr>
        <xdr:cNvPr id="17" name="Down Arrow 16"/>
        <xdr:cNvSpPr/>
      </xdr:nvSpPr>
      <xdr:spPr>
        <a:xfrm>
          <a:off x="3069496" y="5343030"/>
          <a:ext cx="111086" cy="37638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194628</xdr:colOff>
      <xdr:row>26</xdr:row>
      <xdr:rowOff>4546</xdr:rowOff>
    </xdr:from>
    <xdr:to>
      <xdr:col>4</xdr:col>
      <xdr:colOff>305714</xdr:colOff>
      <xdr:row>27</xdr:row>
      <xdr:rowOff>190428</xdr:rowOff>
    </xdr:to>
    <xdr:sp macro="" textlink="">
      <xdr:nvSpPr>
        <xdr:cNvPr id="18" name="Down Arrow 17"/>
        <xdr:cNvSpPr/>
      </xdr:nvSpPr>
      <xdr:spPr>
        <a:xfrm>
          <a:off x="3652203" y="5338546"/>
          <a:ext cx="111086" cy="37638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201349</xdr:colOff>
      <xdr:row>26</xdr:row>
      <xdr:rowOff>64</xdr:rowOff>
    </xdr:from>
    <xdr:to>
      <xdr:col>5</xdr:col>
      <xdr:colOff>312435</xdr:colOff>
      <xdr:row>27</xdr:row>
      <xdr:rowOff>185946</xdr:rowOff>
    </xdr:to>
    <xdr:sp macro="" textlink="">
      <xdr:nvSpPr>
        <xdr:cNvPr id="19" name="Down Arrow 18"/>
        <xdr:cNvSpPr/>
      </xdr:nvSpPr>
      <xdr:spPr>
        <a:xfrm>
          <a:off x="4268524" y="5334064"/>
          <a:ext cx="111086" cy="37638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185661</xdr:colOff>
      <xdr:row>25</xdr:row>
      <xdr:rowOff>197286</xdr:rowOff>
    </xdr:from>
    <xdr:to>
      <xdr:col>6</xdr:col>
      <xdr:colOff>296747</xdr:colOff>
      <xdr:row>27</xdr:row>
      <xdr:rowOff>181462</xdr:rowOff>
    </xdr:to>
    <xdr:sp macro="" textlink="">
      <xdr:nvSpPr>
        <xdr:cNvPr id="20" name="Down Arrow 19"/>
        <xdr:cNvSpPr/>
      </xdr:nvSpPr>
      <xdr:spPr>
        <a:xfrm>
          <a:off x="4862436" y="5331261"/>
          <a:ext cx="111086" cy="37470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203591</xdr:colOff>
      <xdr:row>26</xdr:row>
      <xdr:rowOff>2302</xdr:rowOff>
    </xdr:from>
    <xdr:to>
      <xdr:col>7</xdr:col>
      <xdr:colOff>314677</xdr:colOff>
      <xdr:row>27</xdr:row>
      <xdr:rowOff>188184</xdr:rowOff>
    </xdr:to>
    <xdr:sp macro="" textlink="">
      <xdr:nvSpPr>
        <xdr:cNvPr id="21" name="Down Arrow 20"/>
        <xdr:cNvSpPr/>
      </xdr:nvSpPr>
      <xdr:spPr>
        <a:xfrm>
          <a:off x="5489966" y="5336302"/>
          <a:ext cx="111086" cy="37638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187905</xdr:colOff>
      <xdr:row>26</xdr:row>
      <xdr:rowOff>3663</xdr:rowOff>
    </xdr:from>
    <xdr:to>
      <xdr:col>8</xdr:col>
      <xdr:colOff>298991</xdr:colOff>
      <xdr:row>27</xdr:row>
      <xdr:rowOff>177854</xdr:rowOff>
    </xdr:to>
    <xdr:sp macro="" textlink="">
      <xdr:nvSpPr>
        <xdr:cNvPr id="22" name="Down Arrow 21"/>
        <xdr:cNvSpPr/>
      </xdr:nvSpPr>
      <xdr:spPr>
        <a:xfrm>
          <a:off x="6083880" y="5337663"/>
          <a:ext cx="111086" cy="36469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192996</xdr:colOff>
      <xdr:row>26</xdr:row>
      <xdr:rowOff>6885</xdr:rowOff>
    </xdr:from>
    <xdr:to>
      <xdr:col>9</xdr:col>
      <xdr:colOff>315191</xdr:colOff>
      <xdr:row>27</xdr:row>
      <xdr:rowOff>178171</xdr:rowOff>
    </xdr:to>
    <xdr:sp macro="" textlink="">
      <xdr:nvSpPr>
        <xdr:cNvPr id="23" name="Down Arrow 22"/>
        <xdr:cNvSpPr/>
      </xdr:nvSpPr>
      <xdr:spPr>
        <a:xfrm>
          <a:off x="6698571" y="5340885"/>
          <a:ext cx="122195" cy="36178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165492</xdr:colOff>
      <xdr:row>25</xdr:row>
      <xdr:rowOff>199530</xdr:rowOff>
    </xdr:from>
    <xdr:to>
      <xdr:col>11</xdr:col>
      <xdr:colOff>276578</xdr:colOff>
      <xdr:row>27</xdr:row>
      <xdr:rowOff>183706</xdr:rowOff>
    </xdr:to>
    <xdr:sp macro="" textlink="">
      <xdr:nvSpPr>
        <xdr:cNvPr id="24" name="Down Arrow 23"/>
        <xdr:cNvSpPr/>
      </xdr:nvSpPr>
      <xdr:spPr>
        <a:xfrm>
          <a:off x="7890267" y="5333505"/>
          <a:ext cx="111086" cy="37470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245055</xdr:colOff>
      <xdr:row>25</xdr:row>
      <xdr:rowOff>195046</xdr:rowOff>
    </xdr:from>
    <xdr:to>
      <xdr:col>12</xdr:col>
      <xdr:colOff>356141</xdr:colOff>
      <xdr:row>27</xdr:row>
      <xdr:rowOff>179222</xdr:rowOff>
    </xdr:to>
    <xdr:sp macro="" textlink="">
      <xdr:nvSpPr>
        <xdr:cNvPr id="25" name="Down Arrow 24"/>
        <xdr:cNvSpPr/>
      </xdr:nvSpPr>
      <xdr:spPr>
        <a:xfrm>
          <a:off x="8579430" y="5329021"/>
          <a:ext cx="111086" cy="37470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201350</xdr:colOff>
      <xdr:row>25</xdr:row>
      <xdr:rowOff>190564</xdr:rowOff>
    </xdr:from>
    <xdr:to>
      <xdr:col>13</xdr:col>
      <xdr:colOff>312436</xdr:colOff>
      <xdr:row>27</xdr:row>
      <xdr:rowOff>174740</xdr:rowOff>
    </xdr:to>
    <xdr:sp macro="" textlink="">
      <xdr:nvSpPr>
        <xdr:cNvPr id="26" name="Down Arrow 25"/>
        <xdr:cNvSpPr/>
      </xdr:nvSpPr>
      <xdr:spPr>
        <a:xfrm>
          <a:off x="9145325" y="5324539"/>
          <a:ext cx="111086" cy="37470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196867</xdr:colOff>
      <xdr:row>25</xdr:row>
      <xdr:rowOff>197286</xdr:rowOff>
    </xdr:from>
    <xdr:to>
      <xdr:col>14</xdr:col>
      <xdr:colOff>307953</xdr:colOff>
      <xdr:row>27</xdr:row>
      <xdr:rowOff>181462</xdr:rowOff>
    </xdr:to>
    <xdr:sp macro="" textlink="">
      <xdr:nvSpPr>
        <xdr:cNvPr id="27" name="Down Arrow 26"/>
        <xdr:cNvSpPr/>
      </xdr:nvSpPr>
      <xdr:spPr>
        <a:xfrm>
          <a:off x="9750442" y="5331261"/>
          <a:ext cx="111086" cy="37470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192386</xdr:colOff>
      <xdr:row>26</xdr:row>
      <xdr:rowOff>8205</xdr:rowOff>
    </xdr:from>
    <xdr:to>
      <xdr:col>15</xdr:col>
      <xdr:colOff>303472</xdr:colOff>
      <xdr:row>27</xdr:row>
      <xdr:rowOff>159870</xdr:rowOff>
    </xdr:to>
    <xdr:sp macro="" textlink="">
      <xdr:nvSpPr>
        <xdr:cNvPr id="28" name="Down Arrow 27"/>
        <xdr:cNvSpPr/>
      </xdr:nvSpPr>
      <xdr:spPr>
        <a:xfrm>
          <a:off x="10384136" y="5342205"/>
          <a:ext cx="111086" cy="3421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187905</xdr:colOff>
      <xdr:row>26</xdr:row>
      <xdr:rowOff>14927</xdr:rowOff>
    </xdr:from>
    <xdr:to>
      <xdr:col>16</xdr:col>
      <xdr:colOff>298991</xdr:colOff>
      <xdr:row>27</xdr:row>
      <xdr:rowOff>166592</xdr:rowOff>
    </xdr:to>
    <xdr:sp macro="" textlink="">
      <xdr:nvSpPr>
        <xdr:cNvPr id="29" name="Down Arrow 28"/>
        <xdr:cNvSpPr/>
      </xdr:nvSpPr>
      <xdr:spPr>
        <a:xfrm>
          <a:off x="10989255" y="5348927"/>
          <a:ext cx="111086" cy="3421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185661</xdr:colOff>
      <xdr:row>26</xdr:row>
      <xdr:rowOff>6786</xdr:rowOff>
    </xdr:from>
    <xdr:to>
      <xdr:col>17</xdr:col>
      <xdr:colOff>296747</xdr:colOff>
      <xdr:row>27</xdr:row>
      <xdr:rowOff>192668</xdr:rowOff>
    </xdr:to>
    <xdr:sp macro="" textlink="">
      <xdr:nvSpPr>
        <xdr:cNvPr id="30" name="Down Arrow 29"/>
        <xdr:cNvSpPr/>
      </xdr:nvSpPr>
      <xdr:spPr>
        <a:xfrm>
          <a:off x="11596611" y="5340786"/>
          <a:ext cx="111086" cy="37638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203591</xdr:colOff>
      <xdr:row>26</xdr:row>
      <xdr:rowOff>30617</xdr:rowOff>
    </xdr:from>
    <xdr:to>
      <xdr:col>18</xdr:col>
      <xdr:colOff>314677</xdr:colOff>
      <xdr:row>27</xdr:row>
      <xdr:rowOff>182282</xdr:rowOff>
    </xdr:to>
    <xdr:sp macro="" textlink="">
      <xdr:nvSpPr>
        <xdr:cNvPr id="31" name="Down Arrow 30"/>
        <xdr:cNvSpPr/>
      </xdr:nvSpPr>
      <xdr:spPr>
        <a:xfrm>
          <a:off x="12224141" y="5364617"/>
          <a:ext cx="111086" cy="3421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208073</xdr:colOff>
      <xdr:row>26</xdr:row>
      <xdr:rowOff>6786</xdr:rowOff>
    </xdr:from>
    <xdr:to>
      <xdr:col>19</xdr:col>
      <xdr:colOff>319159</xdr:colOff>
      <xdr:row>27</xdr:row>
      <xdr:rowOff>192668</xdr:rowOff>
    </xdr:to>
    <xdr:sp macro="" textlink="">
      <xdr:nvSpPr>
        <xdr:cNvPr id="32" name="Down Arrow 31"/>
        <xdr:cNvSpPr/>
      </xdr:nvSpPr>
      <xdr:spPr>
        <a:xfrm>
          <a:off x="12838223" y="5340786"/>
          <a:ext cx="111086" cy="37638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214797</xdr:colOff>
      <xdr:row>26</xdr:row>
      <xdr:rowOff>19411</xdr:rowOff>
    </xdr:from>
    <xdr:to>
      <xdr:col>20</xdr:col>
      <xdr:colOff>325883</xdr:colOff>
      <xdr:row>27</xdr:row>
      <xdr:rowOff>171076</xdr:rowOff>
    </xdr:to>
    <xdr:sp macro="" textlink="">
      <xdr:nvSpPr>
        <xdr:cNvPr id="33" name="Down Arrow 32"/>
        <xdr:cNvSpPr/>
      </xdr:nvSpPr>
      <xdr:spPr>
        <a:xfrm>
          <a:off x="13454547" y="5353411"/>
          <a:ext cx="111086" cy="3421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277554</xdr:colOff>
      <xdr:row>26</xdr:row>
      <xdr:rowOff>37339</xdr:rowOff>
    </xdr:from>
    <xdr:to>
      <xdr:col>21</xdr:col>
      <xdr:colOff>388640</xdr:colOff>
      <xdr:row>27</xdr:row>
      <xdr:rowOff>189004</xdr:rowOff>
    </xdr:to>
    <xdr:sp macro="" textlink="">
      <xdr:nvSpPr>
        <xdr:cNvPr id="34" name="Down Arrow 33"/>
        <xdr:cNvSpPr/>
      </xdr:nvSpPr>
      <xdr:spPr>
        <a:xfrm>
          <a:off x="14126904" y="5371339"/>
          <a:ext cx="111086" cy="3421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270828</xdr:colOff>
      <xdr:row>26</xdr:row>
      <xdr:rowOff>30617</xdr:rowOff>
    </xdr:from>
    <xdr:to>
      <xdr:col>22</xdr:col>
      <xdr:colOff>381914</xdr:colOff>
      <xdr:row>27</xdr:row>
      <xdr:rowOff>182282</xdr:rowOff>
    </xdr:to>
    <xdr:sp macro="" textlink="">
      <xdr:nvSpPr>
        <xdr:cNvPr id="35" name="Down Arrow 34"/>
        <xdr:cNvSpPr/>
      </xdr:nvSpPr>
      <xdr:spPr>
        <a:xfrm>
          <a:off x="14729778" y="5364617"/>
          <a:ext cx="111086" cy="3421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288760</xdr:colOff>
      <xdr:row>26</xdr:row>
      <xdr:rowOff>37339</xdr:rowOff>
    </xdr:from>
    <xdr:to>
      <xdr:col>23</xdr:col>
      <xdr:colOff>399846</xdr:colOff>
      <xdr:row>27</xdr:row>
      <xdr:rowOff>189004</xdr:rowOff>
    </xdr:to>
    <xdr:sp macro="" textlink="">
      <xdr:nvSpPr>
        <xdr:cNvPr id="36" name="Down Arrow 35"/>
        <xdr:cNvSpPr/>
      </xdr:nvSpPr>
      <xdr:spPr>
        <a:xfrm>
          <a:off x="15357310" y="5371339"/>
          <a:ext cx="111086" cy="3421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237213</xdr:colOff>
      <xdr:row>3</xdr:row>
      <xdr:rowOff>30623</xdr:rowOff>
    </xdr:from>
    <xdr:to>
      <xdr:col>8</xdr:col>
      <xdr:colOff>348299</xdr:colOff>
      <xdr:row>4</xdr:row>
      <xdr:rowOff>182288</xdr:rowOff>
    </xdr:to>
    <xdr:sp macro="" textlink="">
      <xdr:nvSpPr>
        <xdr:cNvPr id="37" name="Down Arrow 36"/>
        <xdr:cNvSpPr/>
      </xdr:nvSpPr>
      <xdr:spPr>
        <a:xfrm>
          <a:off x="6133188" y="640223"/>
          <a:ext cx="111086" cy="3421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199110</xdr:colOff>
      <xdr:row>3</xdr:row>
      <xdr:rowOff>9030</xdr:rowOff>
    </xdr:from>
    <xdr:to>
      <xdr:col>9</xdr:col>
      <xdr:colOff>310196</xdr:colOff>
      <xdr:row>4</xdr:row>
      <xdr:rowOff>194912</xdr:rowOff>
    </xdr:to>
    <xdr:sp macro="" textlink="">
      <xdr:nvSpPr>
        <xdr:cNvPr id="38" name="Down Arrow 37"/>
        <xdr:cNvSpPr/>
      </xdr:nvSpPr>
      <xdr:spPr>
        <a:xfrm>
          <a:off x="6704685" y="618630"/>
          <a:ext cx="111086" cy="37638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194628</xdr:colOff>
      <xdr:row>3</xdr:row>
      <xdr:rowOff>4546</xdr:rowOff>
    </xdr:from>
    <xdr:to>
      <xdr:col>10</xdr:col>
      <xdr:colOff>305714</xdr:colOff>
      <xdr:row>4</xdr:row>
      <xdr:rowOff>190428</xdr:rowOff>
    </xdr:to>
    <xdr:sp macro="" textlink="">
      <xdr:nvSpPr>
        <xdr:cNvPr id="39" name="Down Arrow 38"/>
        <xdr:cNvSpPr/>
      </xdr:nvSpPr>
      <xdr:spPr>
        <a:xfrm>
          <a:off x="7309803" y="614146"/>
          <a:ext cx="111086" cy="37638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156526</xdr:colOff>
      <xdr:row>3</xdr:row>
      <xdr:rowOff>64</xdr:rowOff>
    </xdr:from>
    <xdr:to>
      <xdr:col>11</xdr:col>
      <xdr:colOff>267612</xdr:colOff>
      <xdr:row>4</xdr:row>
      <xdr:rowOff>185946</xdr:rowOff>
    </xdr:to>
    <xdr:sp macro="" textlink="">
      <xdr:nvSpPr>
        <xdr:cNvPr id="40" name="Down Arrow 39"/>
        <xdr:cNvSpPr/>
      </xdr:nvSpPr>
      <xdr:spPr>
        <a:xfrm>
          <a:off x="7881301" y="609664"/>
          <a:ext cx="111086" cy="37638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140838</xdr:colOff>
      <xdr:row>2</xdr:row>
      <xdr:rowOff>197286</xdr:rowOff>
    </xdr:from>
    <xdr:to>
      <xdr:col>12</xdr:col>
      <xdr:colOff>251924</xdr:colOff>
      <xdr:row>4</xdr:row>
      <xdr:rowOff>181462</xdr:rowOff>
    </xdr:to>
    <xdr:sp macro="" textlink="">
      <xdr:nvSpPr>
        <xdr:cNvPr id="41" name="Down Arrow 40"/>
        <xdr:cNvSpPr/>
      </xdr:nvSpPr>
      <xdr:spPr>
        <a:xfrm>
          <a:off x="8475213" y="606861"/>
          <a:ext cx="111086" cy="37470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158768</xdr:colOff>
      <xdr:row>3</xdr:row>
      <xdr:rowOff>19411</xdr:rowOff>
    </xdr:from>
    <xdr:to>
      <xdr:col>13</xdr:col>
      <xdr:colOff>269854</xdr:colOff>
      <xdr:row>4</xdr:row>
      <xdr:rowOff>171076</xdr:rowOff>
    </xdr:to>
    <xdr:sp macro="" textlink="">
      <xdr:nvSpPr>
        <xdr:cNvPr id="42" name="Down Arrow 41"/>
        <xdr:cNvSpPr/>
      </xdr:nvSpPr>
      <xdr:spPr>
        <a:xfrm>
          <a:off x="9102743" y="629011"/>
          <a:ext cx="111086" cy="3421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143081</xdr:colOff>
      <xdr:row>3</xdr:row>
      <xdr:rowOff>26133</xdr:rowOff>
    </xdr:from>
    <xdr:to>
      <xdr:col>14</xdr:col>
      <xdr:colOff>254167</xdr:colOff>
      <xdr:row>4</xdr:row>
      <xdr:rowOff>177798</xdr:rowOff>
    </xdr:to>
    <xdr:sp macro="" textlink="">
      <xdr:nvSpPr>
        <xdr:cNvPr id="43" name="Down Arrow 42"/>
        <xdr:cNvSpPr/>
      </xdr:nvSpPr>
      <xdr:spPr>
        <a:xfrm>
          <a:off x="9696656" y="635733"/>
          <a:ext cx="111086" cy="3421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248418</xdr:colOff>
      <xdr:row>3</xdr:row>
      <xdr:rowOff>19417</xdr:rowOff>
    </xdr:from>
    <xdr:to>
      <xdr:col>15</xdr:col>
      <xdr:colOff>359504</xdr:colOff>
      <xdr:row>4</xdr:row>
      <xdr:rowOff>171082</xdr:rowOff>
    </xdr:to>
    <xdr:sp macro="" textlink="">
      <xdr:nvSpPr>
        <xdr:cNvPr id="44" name="Down Arrow 43"/>
        <xdr:cNvSpPr/>
      </xdr:nvSpPr>
      <xdr:spPr>
        <a:xfrm>
          <a:off x="10440168" y="629017"/>
          <a:ext cx="111086" cy="3421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210315</xdr:colOff>
      <xdr:row>2</xdr:row>
      <xdr:rowOff>199530</xdr:rowOff>
    </xdr:from>
    <xdr:to>
      <xdr:col>16</xdr:col>
      <xdr:colOff>321401</xdr:colOff>
      <xdr:row>4</xdr:row>
      <xdr:rowOff>183706</xdr:rowOff>
    </xdr:to>
    <xdr:sp macro="" textlink="">
      <xdr:nvSpPr>
        <xdr:cNvPr id="45" name="Down Arrow 44"/>
        <xdr:cNvSpPr/>
      </xdr:nvSpPr>
      <xdr:spPr>
        <a:xfrm>
          <a:off x="11011665" y="609105"/>
          <a:ext cx="111086" cy="37470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194628</xdr:colOff>
      <xdr:row>2</xdr:row>
      <xdr:rowOff>195046</xdr:rowOff>
    </xdr:from>
    <xdr:to>
      <xdr:col>17</xdr:col>
      <xdr:colOff>305714</xdr:colOff>
      <xdr:row>4</xdr:row>
      <xdr:rowOff>179222</xdr:rowOff>
    </xdr:to>
    <xdr:sp macro="" textlink="">
      <xdr:nvSpPr>
        <xdr:cNvPr id="46" name="Down Arrow 45"/>
        <xdr:cNvSpPr/>
      </xdr:nvSpPr>
      <xdr:spPr>
        <a:xfrm>
          <a:off x="11605578" y="604621"/>
          <a:ext cx="111086" cy="37470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201349</xdr:colOff>
      <xdr:row>2</xdr:row>
      <xdr:rowOff>190564</xdr:rowOff>
    </xdr:from>
    <xdr:to>
      <xdr:col>18</xdr:col>
      <xdr:colOff>312435</xdr:colOff>
      <xdr:row>4</xdr:row>
      <xdr:rowOff>174740</xdr:rowOff>
    </xdr:to>
    <xdr:sp macro="" textlink="">
      <xdr:nvSpPr>
        <xdr:cNvPr id="47" name="Down Arrow 46"/>
        <xdr:cNvSpPr/>
      </xdr:nvSpPr>
      <xdr:spPr>
        <a:xfrm>
          <a:off x="12221899" y="600139"/>
          <a:ext cx="111086" cy="37470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203591</xdr:colOff>
      <xdr:row>3</xdr:row>
      <xdr:rowOff>8205</xdr:rowOff>
    </xdr:from>
    <xdr:to>
      <xdr:col>19</xdr:col>
      <xdr:colOff>314677</xdr:colOff>
      <xdr:row>4</xdr:row>
      <xdr:rowOff>159870</xdr:rowOff>
    </xdr:to>
    <xdr:sp macro="" textlink="">
      <xdr:nvSpPr>
        <xdr:cNvPr id="48" name="Down Arrow 47"/>
        <xdr:cNvSpPr/>
      </xdr:nvSpPr>
      <xdr:spPr>
        <a:xfrm>
          <a:off x="12833741" y="617805"/>
          <a:ext cx="111086" cy="3421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187904</xdr:colOff>
      <xdr:row>3</xdr:row>
      <xdr:rowOff>14927</xdr:rowOff>
    </xdr:from>
    <xdr:to>
      <xdr:col>20</xdr:col>
      <xdr:colOff>298990</xdr:colOff>
      <xdr:row>4</xdr:row>
      <xdr:rowOff>166592</xdr:rowOff>
    </xdr:to>
    <xdr:sp macro="" textlink="">
      <xdr:nvSpPr>
        <xdr:cNvPr id="49" name="Down Arrow 48"/>
        <xdr:cNvSpPr/>
      </xdr:nvSpPr>
      <xdr:spPr>
        <a:xfrm>
          <a:off x="13427654" y="624527"/>
          <a:ext cx="111086" cy="3421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259623</xdr:colOff>
      <xdr:row>3</xdr:row>
      <xdr:rowOff>30622</xdr:rowOff>
    </xdr:from>
    <xdr:to>
      <xdr:col>21</xdr:col>
      <xdr:colOff>370709</xdr:colOff>
      <xdr:row>4</xdr:row>
      <xdr:rowOff>182287</xdr:rowOff>
    </xdr:to>
    <xdr:sp macro="" textlink="">
      <xdr:nvSpPr>
        <xdr:cNvPr id="50" name="Down Arrow 49"/>
        <xdr:cNvSpPr/>
      </xdr:nvSpPr>
      <xdr:spPr>
        <a:xfrm>
          <a:off x="14108973" y="640222"/>
          <a:ext cx="111086" cy="3421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243933</xdr:colOff>
      <xdr:row>3</xdr:row>
      <xdr:rowOff>9029</xdr:rowOff>
    </xdr:from>
    <xdr:to>
      <xdr:col>22</xdr:col>
      <xdr:colOff>355019</xdr:colOff>
      <xdr:row>4</xdr:row>
      <xdr:rowOff>194911</xdr:rowOff>
    </xdr:to>
    <xdr:sp macro="" textlink="">
      <xdr:nvSpPr>
        <xdr:cNvPr id="51" name="Down Arrow 50"/>
        <xdr:cNvSpPr/>
      </xdr:nvSpPr>
      <xdr:spPr>
        <a:xfrm>
          <a:off x="14702883" y="618629"/>
          <a:ext cx="111086" cy="37638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250658</xdr:colOff>
      <xdr:row>3</xdr:row>
      <xdr:rowOff>4545</xdr:rowOff>
    </xdr:from>
    <xdr:to>
      <xdr:col>23</xdr:col>
      <xdr:colOff>361744</xdr:colOff>
      <xdr:row>4</xdr:row>
      <xdr:rowOff>190427</xdr:rowOff>
    </xdr:to>
    <xdr:sp macro="" textlink="">
      <xdr:nvSpPr>
        <xdr:cNvPr id="52" name="Down Arrow 51"/>
        <xdr:cNvSpPr/>
      </xdr:nvSpPr>
      <xdr:spPr>
        <a:xfrm>
          <a:off x="15319208" y="614145"/>
          <a:ext cx="111086" cy="37638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246175</xdr:colOff>
      <xdr:row>3</xdr:row>
      <xdr:rowOff>63</xdr:rowOff>
    </xdr:from>
    <xdr:to>
      <xdr:col>24</xdr:col>
      <xdr:colOff>357261</xdr:colOff>
      <xdr:row>4</xdr:row>
      <xdr:rowOff>185945</xdr:rowOff>
    </xdr:to>
    <xdr:sp macro="" textlink="">
      <xdr:nvSpPr>
        <xdr:cNvPr id="53" name="Down Arrow 52"/>
        <xdr:cNvSpPr/>
      </xdr:nvSpPr>
      <xdr:spPr>
        <a:xfrm>
          <a:off x="15924325" y="609663"/>
          <a:ext cx="111086" cy="37638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209756</xdr:colOff>
      <xdr:row>34</xdr:row>
      <xdr:rowOff>9091</xdr:rowOff>
    </xdr:from>
    <xdr:to>
      <xdr:col>2</xdr:col>
      <xdr:colOff>320842</xdr:colOff>
      <xdr:row>34</xdr:row>
      <xdr:rowOff>190933</xdr:rowOff>
    </xdr:to>
    <xdr:sp macro="" textlink="">
      <xdr:nvSpPr>
        <xdr:cNvPr id="54" name="Down Arrow 53"/>
        <xdr:cNvSpPr/>
      </xdr:nvSpPr>
      <xdr:spPr>
        <a:xfrm>
          <a:off x="2448131" y="7067116"/>
          <a:ext cx="111086" cy="1818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3</xdr:col>
      <xdr:colOff>198550</xdr:colOff>
      <xdr:row>34</xdr:row>
      <xdr:rowOff>9091</xdr:rowOff>
    </xdr:from>
    <xdr:to>
      <xdr:col>3</xdr:col>
      <xdr:colOff>309636</xdr:colOff>
      <xdr:row>34</xdr:row>
      <xdr:rowOff>190933</xdr:rowOff>
    </xdr:to>
    <xdr:sp macro="" textlink="">
      <xdr:nvSpPr>
        <xdr:cNvPr id="55" name="Down Arrow 54"/>
        <xdr:cNvSpPr/>
      </xdr:nvSpPr>
      <xdr:spPr>
        <a:xfrm>
          <a:off x="3046525" y="7067116"/>
          <a:ext cx="111086" cy="1818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209757</xdr:colOff>
      <xdr:row>34</xdr:row>
      <xdr:rowOff>9091</xdr:rowOff>
    </xdr:from>
    <xdr:to>
      <xdr:col>4</xdr:col>
      <xdr:colOff>320843</xdr:colOff>
      <xdr:row>34</xdr:row>
      <xdr:rowOff>190933</xdr:rowOff>
    </xdr:to>
    <xdr:sp macro="" textlink="">
      <xdr:nvSpPr>
        <xdr:cNvPr id="56" name="Down Arrow 55"/>
        <xdr:cNvSpPr/>
      </xdr:nvSpPr>
      <xdr:spPr>
        <a:xfrm>
          <a:off x="3667332" y="7067116"/>
          <a:ext cx="111086" cy="1818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220962</xdr:colOff>
      <xdr:row>33</xdr:row>
      <xdr:rowOff>199591</xdr:rowOff>
    </xdr:from>
    <xdr:to>
      <xdr:col>5</xdr:col>
      <xdr:colOff>332048</xdr:colOff>
      <xdr:row>34</xdr:row>
      <xdr:rowOff>179727</xdr:rowOff>
    </xdr:to>
    <xdr:sp macro="" textlink="">
      <xdr:nvSpPr>
        <xdr:cNvPr id="57" name="Down Arrow 56"/>
        <xdr:cNvSpPr/>
      </xdr:nvSpPr>
      <xdr:spPr>
        <a:xfrm>
          <a:off x="4288137" y="7057591"/>
          <a:ext cx="111086" cy="18016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176139</xdr:colOff>
      <xdr:row>33</xdr:row>
      <xdr:rowOff>199591</xdr:rowOff>
    </xdr:from>
    <xdr:to>
      <xdr:col>6</xdr:col>
      <xdr:colOff>287225</xdr:colOff>
      <xdr:row>34</xdr:row>
      <xdr:rowOff>179727</xdr:rowOff>
    </xdr:to>
    <xdr:sp macro="" textlink="">
      <xdr:nvSpPr>
        <xdr:cNvPr id="58" name="Down Arrow 57"/>
        <xdr:cNvSpPr/>
      </xdr:nvSpPr>
      <xdr:spPr>
        <a:xfrm>
          <a:off x="4852914" y="7057591"/>
          <a:ext cx="111086" cy="18016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164933</xdr:colOff>
      <xdr:row>33</xdr:row>
      <xdr:rowOff>199591</xdr:rowOff>
    </xdr:from>
    <xdr:to>
      <xdr:col>7</xdr:col>
      <xdr:colOff>276019</xdr:colOff>
      <xdr:row>34</xdr:row>
      <xdr:rowOff>179727</xdr:rowOff>
    </xdr:to>
    <xdr:sp macro="" textlink="">
      <xdr:nvSpPr>
        <xdr:cNvPr id="59" name="Down Arrow 58"/>
        <xdr:cNvSpPr/>
      </xdr:nvSpPr>
      <xdr:spPr>
        <a:xfrm>
          <a:off x="5451308" y="7057591"/>
          <a:ext cx="111086" cy="18016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176140</xdr:colOff>
      <xdr:row>33</xdr:row>
      <xdr:rowOff>199591</xdr:rowOff>
    </xdr:from>
    <xdr:to>
      <xdr:col>8</xdr:col>
      <xdr:colOff>287226</xdr:colOff>
      <xdr:row>34</xdr:row>
      <xdr:rowOff>179727</xdr:rowOff>
    </xdr:to>
    <xdr:sp macro="" textlink="">
      <xdr:nvSpPr>
        <xdr:cNvPr id="60" name="Down Arrow 59"/>
        <xdr:cNvSpPr/>
      </xdr:nvSpPr>
      <xdr:spPr>
        <a:xfrm>
          <a:off x="6072115" y="7057591"/>
          <a:ext cx="111086" cy="18016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254580</xdr:colOff>
      <xdr:row>34</xdr:row>
      <xdr:rowOff>9091</xdr:rowOff>
    </xdr:from>
    <xdr:to>
      <xdr:col>9</xdr:col>
      <xdr:colOff>365666</xdr:colOff>
      <xdr:row>34</xdr:row>
      <xdr:rowOff>190933</xdr:rowOff>
    </xdr:to>
    <xdr:sp macro="" textlink="">
      <xdr:nvSpPr>
        <xdr:cNvPr id="61" name="Down Arrow 60"/>
        <xdr:cNvSpPr/>
      </xdr:nvSpPr>
      <xdr:spPr>
        <a:xfrm>
          <a:off x="6760155" y="7067116"/>
          <a:ext cx="111086" cy="1818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220962</xdr:colOff>
      <xdr:row>34</xdr:row>
      <xdr:rowOff>9091</xdr:rowOff>
    </xdr:from>
    <xdr:to>
      <xdr:col>10</xdr:col>
      <xdr:colOff>332048</xdr:colOff>
      <xdr:row>34</xdr:row>
      <xdr:rowOff>190933</xdr:rowOff>
    </xdr:to>
    <xdr:sp macro="" textlink="">
      <xdr:nvSpPr>
        <xdr:cNvPr id="62" name="Down Arrow 61"/>
        <xdr:cNvSpPr/>
      </xdr:nvSpPr>
      <xdr:spPr>
        <a:xfrm>
          <a:off x="7336137" y="7067116"/>
          <a:ext cx="111086" cy="1818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187345</xdr:colOff>
      <xdr:row>34</xdr:row>
      <xdr:rowOff>9091</xdr:rowOff>
    </xdr:from>
    <xdr:to>
      <xdr:col>11</xdr:col>
      <xdr:colOff>298431</xdr:colOff>
      <xdr:row>34</xdr:row>
      <xdr:rowOff>190933</xdr:rowOff>
    </xdr:to>
    <xdr:sp macro="" textlink="">
      <xdr:nvSpPr>
        <xdr:cNvPr id="63" name="Down Arrow 62"/>
        <xdr:cNvSpPr/>
      </xdr:nvSpPr>
      <xdr:spPr>
        <a:xfrm>
          <a:off x="7912120" y="7067116"/>
          <a:ext cx="111086" cy="1818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209758</xdr:colOff>
      <xdr:row>34</xdr:row>
      <xdr:rowOff>9091</xdr:rowOff>
    </xdr:from>
    <xdr:to>
      <xdr:col>12</xdr:col>
      <xdr:colOff>320844</xdr:colOff>
      <xdr:row>34</xdr:row>
      <xdr:rowOff>190933</xdr:rowOff>
    </xdr:to>
    <xdr:sp macro="" textlink="">
      <xdr:nvSpPr>
        <xdr:cNvPr id="64" name="Down Arrow 63"/>
        <xdr:cNvSpPr/>
      </xdr:nvSpPr>
      <xdr:spPr>
        <a:xfrm>
          <a:off x="8544133" y="7067116"/>
          <a:ext cx="111086" cy="1818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232169</xdr:colOff>
      <xdr:row>33</xdr:row>
      <xdr:rowOff>199591</xdr:rowOff>
    </xdr:from>
    <xdr:to>
      <xdr:col>13</xdr:col>
      <xdr:colOff>343255</xdr:colOff>
      <xdr:row>34</xdr:row>
      <xdr:rowOff>179727</xdr:rowOff>
    </xdr:to>
    <xdr:sp macro="" textlink="">
      <xdr:nvSpPr>
        <xdr:cNvPr id="65" name="Down Arrow 64"/>
        <xdr:cNvSpPr/>
      </xdr:nvSpPr>
      <xdr:spPr>
        <a:xfrm>
          <a:off x="9176144" y="7057591"/>
          <a:ext cx="111086" cy="18016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209757</xdr:colOff>
      <xdr:row>33</xdr:row>
      <xdr:rowOff>199591</xdr:rowOff>
    </xdr:from>
    <xdr:to>
      <xdr:col>14</xdr:col>
      <xdr:colOff>320843</xdr:colOff>
      <xdr:row>34</xdr:row>
      <xdr:rowOff>179727</xdr:rowOff>
    </xdr:to>
    <xdr:sp macro="" textlink="">
      <xdr:nvSpPr>
        <xdr:cNvPr id="66" name="Down Arrow 65"/>
        <xdr:cNvSpPr/>
      </xdr:nvSpPr>
      <xdr:spPr>
        <a:xfrm>
          <a:off x="9763332" y="7057591"/>
          <a:ext cx="111086" cy="18016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198552</xdr:colOff>
      <xdr:row>33</xdr:row>
      <xdr:rowOff>199591</xdr:rowOff>
    </xdr:from>
    <xdr:to>
      <xdr:col>15</xdr:col>
      <xdr:colOff>309638</xdr:colOff>
      <xdr:row>34</xdr:row>
      <xdr:rowOff>179727</xdr:rowOff>
    </xdr:to>
    <xdr:sp macro="" textlink="">
      <xdr:nvSpPr>
        <xdr:cNvPr id="67" name="Down Arrow 66"/>
        <xdr:cNvSpPr/>
      </xdr:nvSpPr>
      <xdr:spPr>
        <a:xfrm>
          <a:off x="10390302" y="7057591"/>
          <a:ext cx="111086" cy="18016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220964</xdr:colOff>
      <xdr:row>33</xdr:row>
      <xdr:rowOff>199591</xdr:rowOff>
    </xdr:from>
    <xdr:to>
      <xdr:col>16</xdr:col>
      <xdr:colOff>332050</xdr:colOff>
      <xdr:row>34</xdr:row>
      <xdr:rowOff>179727</xdr:rowOff>
    </xdr:to>
    <xdr:sp macro="" textlink="">
      <xdr:nvSpPr>
        <xdr:cNvPr id="68" name="Down Arrow 67"/>
        <xdr:cNvSpPr/>
      </xdr:nvSpPr>
      <xdr:spPr>
        <a:xfrm>
          <a:off x="11022314" y="7057591"/>
          <a:ext cx="111086" cy="18016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220964</xdr:colOff>
      <xdr:row>34</xdr:row>
      <xdr:rowOff>9091</xdr:rowOff>
    </xdr:from>
    <xdr:to>
      <xdr:col>17</xdr:col>
      <xdr:colOff>332050</xdr:colOff>
      <xdr:row>34</xdr:row>
      <xdr:rowOff>190933</xdr:rowOff>
    </xdr:to>
    <xdr:sp macro="" textlink="">
      <xdr:nvSpPr>
        <xdr:cNvPr id="69" name="Down Arrow 68"/>
        <xdr:cNvSpPr/>
      </xdr:nvSpPr>
      <xdr:spPr>
        <a:xfrm>
          <a:off x="11631914" y="7067116"/>
          <a:ext cx="111086" cy="1818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243375</xdr:colOff>
      <xdr:row>33</xdr:row>
      <xdr:rowOff>199591</xdr:rowOff>
    </xdr:from>
    <xdr:to>
      <xdr:col>18</xdr:col>
      <xdr:colOff>354461</xdr:colOff>
      <xdr:row>34</xdr:row>
      <xdr:rowOff>179727</xdr:rowOff>
    </xdr:to>
    <xdr:sp macro="" textlink="">
      <xdr:nvSpPr>
        <xdr:cNvPr id="70" name="Down Arrow 69"/>
        <xdr:cNvSpPr/>
      </xdr:nvSpPr>
      <xdr:spPr>
        <a:xfrm>
          <a:off x="12263925" y="7057591"/>
          <a:ext cx="111086" cy="18016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209758</xdr:colOff>
      <xdr:row>33</xdr:row>
      <xdr:rowOff>199591</xdr:rowOff>
    </xdr:from>
    <xdr:to>
      <xdr:col>19</xdr:col>
      <xdr:colOff>320844</xdr:colOff>
      <xdr:row>34</xdr:row>
      <xdr:rowOff>179727</xdr:rowOff>
    </xdr:to>
    <xdr:sp macro="" textlink="">
      <xdr:nvSpPr>
        <xdr:cNvPr id="71" name="Down Arrow 70"/>
        <xdr:cNvSpPr/>
      </xdr:nvSpPr>
      <xdr:spPr>
        <a:xfrm>
          <a:off x="12839908" y="7057591"/>
          <a:ext cx="111086" cy="18016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254581</xdr:colOff>
      <xdr:row>34</xdr:row>
      <xdr:rowOff>9091</xdr:rowOff>
    </xdr:from>
    <xdr:to>
      <xdr:col>20</xdr:col>
      <xdr:colOff>365667</xdr:colOff>
      <xdr:row>34</xdr:row>
      <xdr:rowOff>190933</xdr:rowOff>
    </xdr:to>
    <xdr:sp macro="" textlink="">
      <xdr:nvSpPr>
        <xdr:cNvPr id="72" name="Down Arrow 71"/>
        <xdr:cNvSpPr/>
      </xdr:nvSpPr>
      <xdr:spPr>
        <a:xfrm>
          <a:off x="13494331" y="7067116"/>
          <a:ext cx="111086" cy="1818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243376</xdr:colOff>
      <xdr:row>33</xdr:row>
      <xdr:rowOff>199591</xdr:rowOff>
    </xdr:from>
    <xdr:to>
      <xdr:col>21</xdr:col>
      <xdr:colOff>354462</xdr:colOff>
      <xdr:row>34</xdr:row>
      <xdr:rowOff>179727</xdr:rowOff>
    </xdr:to>
    <xdr:sp macro="" textlink="">
      <xdr:nvSpPr>
        <xdr:cNvPr id="73" name="Down Arrow 72"/>
        <xdr:cNvSpPr/>
      </xdr:nvSpPr>
      <xdr:spPr>
        <a:xfrm>
          <a:off x="14092726" y="7057591"/>
          <a:ext cx="111086" cy="18016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254583</xdr:colOff>
      <xdr:row>33</xdr:row>
      <xdr:rowOff>199591</xdr:rowOff>
    </xdr:from>
    <xdr:to>
      <xdr:col>22</xdr:col>
      <xdr:colOff>365669</xdr:colOff>
      <xdr:row>34</xdr:row>
      <xdr:rowOff>179727</xdr:rowOff>
    </xdr:to>
    <xdr:sp macro="" textlink="">
      <xdr:nvSpPr>
        <xdr:cNvPr id="74" name="Down Arrow 73"/>
        <xdr:cNvSpPr/>
      </xdr:nvSpPr>
      <xdr:spPr>
        <a:xfrm>
          <a:off x="14713533" y="7057591"/>
          <a:ext cx="111086" cy="18016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254582</xdr:colOff>
      <xdr:row>33</xdr:row>
      <xdr:rowOff>199591</xdr:rowOff>
    </xdr:from>
    <xdr:to>
      <xdr:col>23</xdr:col>
      <xdr:colOff>365668</xdr:colOff>
      <xdr:row>34</xdr:row>
      <xdr:rowOff>179727</xdr:rowOff>
    </xdr:to>
    <xdr:sp macro="" textlink="">
      <xdr:nvSpPr>
        <xdr:cNvPr id="75" name="Down Arrow 74"/>
        <xdr:cNvSpPr/>
      </xdr:nvSpPr>
      <xdr:spPr>
        <a:xfrm>
          <a:off x="15323132" y="7057591"/>
          <a:ext cx="111086" cy="18016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254582</xdr:colOff>
      <xdr:row>34</xdr:row>
      <xdr:rowOff>9091</xdr:rowOff>
    </xdr:from>
    <xdr:to>
      <xdr:col>24</xdr:col>
      <xdr:colOff>365668</xdr:colOff>
      <xdr:row>34</xdr:row>
      <xdr:rowOff>190933</xdr:rowOff>
    </xdr:to>
    <xdr:sp macro="" textlink="">
      <xdr:nvSpPr>
        <xdr:cNvPr id="76" name="Down Arrow 75"/>
        <xdr:cNvSpPr/>
      </xdr:nvSpPr>
      <xdr:spPr>
        <a:xfrm>
          <a:off x="15932732" y="7067116"/>
          <a:ext cx="111086" cy="1818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</xdr:col>
      <xdr:colOff>212223</xdr:colOff>
      <xdr:row>44</xdr:row>
      <xdr:rowOff>9755</xdr:rowOff>
    </xdr:from>
    <xdr:to>
      <xdr:col>2</xdr:col>
      <xdr:colOff>340789</xdr:colOff>
      <xdr:row>45</xdr:row>
      <xdr:rowOff>171220</xdr:rowOff>
    </xdr:to>
    <xdr:sp macro="" textlink="">
      <xdr:nvSpPr>
        <xdr:cNvPr id="77" name="Down Arrow 76"/>
        <xdr:cNvSpPr/>
      </xdr:nvSpPr>
      <xdr:spPr>
        <a:xfrm>
          <a:off x="2450598" y="9201380"/>
          <a:ext cx="128566" cy="3519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en-IN" sz="1100"/>
        </a:p>
      </xdr:txBody>
    </xdr:sp>
    <xdr:clientData/>
  </xdr:twoCellAnchor>
  <xdr:twoCellAnchor>
    <xdr:from>
      <xdr:col>3</xdr:col>
      <xdr:colOff>234633</xdr:colOff>
      <xdr:row>44</xdr:row>
      <xdr:rowOff>20960</xdr:rowOff>
    </xdr:from>
    <xdr:to>
      <xdr:col>3</xdr:col>
      <xdr:colOff>363199</xdr:colOff>
      <xdr:row>45</xdr:row>
      <xdr:rowOff>182425</xdr:rowOff>
    </xdr:to>
    <xdr:sp macro="" textlink="">
      <xdr:nvSpPr>
        <xdr:cNvPr id="78" name="Down Arrow 77"/>
        <xdr:cNvSpPr/>
      </xdr:nvSpPr>
      <xdr:spPr>
        <a:xfrm>
          <a:off x="3082608" y="9212585"/>
          <a:ext cx="128566" cy="3519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201017</xdr:colOff>
      <xdr:row>44</xdr:row>
      <xdr:rowOff>9754</xdr:rowOff>
    </xdr:from>
    <xdr:to>
      <xdr:col>4</xdr:col>
      <xdr:colOff>329583</xdr:colOff>
      <xdr:row>45</xdr:row>
      <xdr:rowOff>171219</xdr:rowOff>
    </xdr:to>
    <xdr:sp macro="" textlink="">
      <xdr:nvSpPr>
        <xdr:cNvPr id="79" name="Down Arrow 78"/>
        <xdr:cNvSpPr/>
      </xdr:nvSpPr>
      <xdr:spPr>
        <a:xfrm>
          <a:off x="3658592" y="9201379"/>
          <a:ext cx="128566" cy="3519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189810</xdr:colOff>
      <xdr:row>44</xdr:row>
      <xdr:rowOff>9755</xdr:rowOff>
    </xdr:from>
    <xdr:to>
      <xdr:col>5</xdr:col>
      <xdr:colOff>318376</xdr:colOff>
      <xdr:row>45</xdr:row>
      <xdr:rowOff>171220</xdr:rowOff>
    </xdr:to>
    <xdr:sp macro="" textlink="">
      <xdr:nvSpPr>
        <xdr:cNvPr id="80" name="Down Arrow 79"/>
        <xdr:cNvSpPr/>
      </xdr:nvSpPr>
      <xdr:spPr>
        <a:xfrm>
          <a:off x="4256985" y="9201380"/>
          <a:ext cx="128566" cy="3519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156194</xdr:colOff>
      <xdr:row>44</xdr:row>
      <xdr:rowOff>9755</xdr:rowOff>
    </xdr:from>
    <xdr:to>
      <xdr:col>6</xdr:col>
      <xdr:colOff>284760</xdr:colOff>
      <xdr:row>45</xdr:row>
      <xdr:rowOff>171220</xdr:rowOff>
    </xdr:to>
    <xdr:sp macro="" textlink="">
      <xdr:nvSpPr>
        <xdr:cNvPr id="81" name="Down Arrow 80"/>
        <xdr:cNvSpPr/>
      </xdr:nvSpPr>
      <xdr:spPr>
        <a:xfrm>
          <a:off x="4832969" y="9201380"/>
          <a:ext cx="128566" cy="3519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7</xdr:col>
      <xdr:colOff>178604</xdr:colOff>
      <xdr:row>44</xdr:row>
      <xdr:rowOff>20960</xdr:rowOff>
    </xdr:from>
    <xdr:to>
      <xdr:col>7</xdr:col>
      <xdr:colOff>307170</xdr:colOff>
      <xdr:row>45</xdr:row>
      <xdr:rowOff>182425</xdr:rowOff>
    </xdr:to>
    <xdr:sp macro="" textlink="">
      <xdr:nvSpPr>
        <xdr:cNvPr id="82" name="Down Arrow 81"/>
        <xdr:cNvSpPr/>
      </xdr:nvSpPr>
      <xdr:spPr>
        <a:xfrm>
          <a:off x="5464979" y="9212585"/>
          <a:ext cx="128566" cy="3519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8</xdr:col>
      <xdr:colOff>189812</xdr:colOff>
      <xdr:row>44</xdr:row>
      <xdr:rowOff>20960</xdr:rowOff>
    </xdr:from>
    <xdr:to>
      <xdr:col>8</xdr:col>
      <xdr:colOff>318378</xdr:colOff>
      <xdr:row>45</xdr:row>
      <xdr:rowOff>182425</xdr:rowOff>
    </xdr:to>
    <xdr:sp macro="" textlink="">
      <xdr:nvSpPr>
        <xdr:cNvPr id="83" name="Down Arrow 82"/>
        <xdr:cNvSpPr/>
      </xdr:nvSpPr>
      <xdr:spPr>
        <a:xfrm>
          <a:off x="6085787" y="9212585"/>
          <a:ext cx="128566" cy="3519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9</xdr:col>
      <xdr:colOff>201016</xdr:colOff>
      <xdr:row>44</xdr:row>
      <xdr:rowOff>9755</xdr:rowOff>
    </xdr:from>
    <xdr:to>
      <xdr:col>9</xdr:col>
      <xdr:colOff>329582</xdr:colOff>
      <xdr:row>45</xdr:row>
      <xdr:rowOff>171220</xdr:rowOff>
    </xdr:to>
    <xdr:sp macro="" textlink="">
      <xdr:nvSpPr>
        <xdr:cNvPr id="84" name="Down Arrow 83"/>
        <xdr:cNvSpPr/>
      </xdr:nvSpPr>
      <xdr:spPr>
        <a:xfrm>
          <a:off x="6706591" y="9201380"/>
          <a:ext cx="128566" cy="3519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178605</xdr:colOff>
      <xdr:row>43</xdr:row>
      <xdr:rowOff>200255</xdr:rowOff>
    </xdr:from>
    <xdr:to>
      <xdr:col>10</xdr:col>
      <xdr:colOff>307171</xdr:colOff>
      <xdr:row>45</xdr:row>
      <xdr:rowOff>160014</xdr:rowOff>
    </xdr:to>
    <xdr:sp macro="" textlink="">
      <xdr:nvSpPr>
        <xdr:cNvPr id="85" name="Down Arrow 84"/>
        <xdr:cNvSpPr/>
      </xdr:nvSpPr>
      <xdr:spPr>
        <a:xfrm>
          <a:off x="7293780" y="9191855"/>
          <a:ext cx="128566" cy="35028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11</xdr:col>
      <xdr:colOff>156192</xdr:colOff>
      <xdr:row>44</xdr:row>
      <xdr:rowOff>20960</xdr:rowOff>
    </xdr:from>
    <xdr:to>
      <xdr:col>11</xdr:col>
      <xdr:colOff>284758</xdr:colOff>
      <xdr:row>45</xdr:row>
      <xdr:rowOff>182425</xdr:rowOff>
    </xdr:to>
    <xdr:sp macro="" textlink="">
      <xdr:nvSpPr>
        <xdr:cNvPr id="86" name="Down Arrow 85"/>
        <xdr:cNvSpPr/>
      </xdr:nvSpPr>
      <xdr:spPr>
        <a:xfrm>
          <a:off x="7880967" y="9212585"/>
          <a:ext cx="128566" cy="3519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12</xdr:col>
      <xdr:colOff>122576</xdr:colOff>
      <xdr:row>44</xdr:row>
      <xdr:rowOff>9754</xdr:rowOff>
    </xdr:from>
    <xdr:to>
      <xdr:col>12</xdr:col>
      <xdr:colOff>251142</xdr:colOff>
      <xdr:row>45</xdr:row>
      <xdr:rowOff>171219</xdr:rowOff>
    </xdr:to>
    <xdr:sp macro="" textlink="">
      <xdr:nvSpPr>
        <xdr:cNvPr id="87" name="Down Arrow 86"/>
        <xdr:cNvSpPr/>
      </xdr:nvSpPr>
      <xdr:spPr>
        <a:xfrm>
          <a:off x="8456951" y="9201379"/>
          <a:ext cx="128566" cy="3519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13</xdr:col>
      <xdr:colOff>201016</xdr:colOff>
      <xdr:row>44</xdr:row>
      <xdr:rowOff>9755</xdr:rowOff>
    </xdr:from>
    <xdr:to>
      <xdr:col>13</xdr:col>
      <xdr:colOff>329582</xdr:colOff>
      <xdr:row>45</xdr:row>
      <xdr:rowOff>171220</xdr:rowOff>
    </xdr:to>
    <xdr:sp macro="" textlink="">
      <xdr:nvSpPr>
        <xdr:cNvPr id="88" name="Down Arrow 87"/>
        <xdr:cNvSpPr/>
      </xdr:nvSpPr>
      <xdr:spPr>
        <a:xfrm>
          <a:off x="9144991" y="9201380"/>
          <a:ext cx="128566" cy="3519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14</xdr:col>
      <xdr:colOff>167399</xdr:colOff>
      <xdr:row>43</xdr:row>
      <xdr:rowOff>200255</xdr:rowOff>
    </xdr:from>
    <xdr:to>
      <xdr:col>14</xdr:col>
      <xdr:colOff>295965</xdr:colOff>
      <xdr:row>45</xdr:row>
      <xdr:rowOff>160014</xdr:rowOff>
    </xdr:to>
    <xdr:sp macro="" textlink="">
      <xdr:nvSpPr>
        <xdr:cNvPr id="89" name="Down Arrow 88"/>
        <xdr:cNvSpPr/>
      </xdr:nvSpPr>
      <xdr:spPr>
        <a:xfrm>
          <a:off x="9720974" y="9191855"/>
          <a:ext cx="128566" cy="350284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15</xdr:col>
      <xdr:colOff>189810</xdr:colOff>
      <xdr:row>44</xdr:row>
      <xdr:rowOff>20960</xdr:rowOff>
    </xdr:from>
    <xdr:to>
      <xdr:col>15</xdr:col>
      <xdr:colOff>318376</xdr:colOff>
      <xdr:row>45</xdr:row>
      <xdr:rowOff>182425</xdr:rowOff>
    </xdr:to>
    <xdr:sp macro="" textlink="">
      <xdr:nvSpPr>
        <xdr:cNvPr id="90" name="Down Arrow 89"/>
        <xdr:cNvSpPr/>
      </xdr:nvSpPr>
      <xdr:spPr>
        <a:xfrm>
          <a:off x="10381560" y="9212585"/>
          <a:ext cx="128566" cy="3519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16</xdr:col>
      <xdr:colOff>156193</xdr:colOff>
      <xdr:row>44</xdr:row>
      <xdr:rowOff>9754</xdr:rowOff>
    </xdr:from>
    <xdr:to>
      <xdr:col>16</xdr:col>
      <xdr:colOff>284759</xdr:colOff>
      <xdr:row>45</xdr:row>
      <xdr:rowOff>171219</xdr:rowOff>
    </xdr:to>
    <xdr:sp macro="" textlink="">
      <xdr:nvSpPr>
        <xdr:cNvPr id="91" name="Down Arrow 90"/>
        <xdr:cNvSpPr/>
      </xdr:nvSpPr>
      <xdr:spPr>
        <a:xfrm>
          <a:off x="10957543" y="9201379"/>
          <a:ext cx="128566" cy="3519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17</xdr:col>
      <xdr:colOff>201016</xdr:colOff>
      <xdr:row>44</xdr:row>
      <xdr:rowOff>9755</xdr:rowOff>
    </xdr:from>
    <xdr:to>
      <xdr:col>17</xdr:col>
      <xdr:colOff>329582</xdr:colOff>
      <xdr:row>45</xdr:row>
      <xdr:rowOff>171220</xdr:rowOff>
    </xdr:to>
    <xdr:sp macro="" textlink="">
      <xdr:nvSpPr>
        <xdr:cNvPr id="92" name="Down Arrow 91"/>
        <xdr:cNvSpPr/>
      </xdr:nvSpPr>
      <xdr:spPr>
        <a:xfrm>
          <a:off x="11611966" y="9201380"/>
          <a:ext cx="128566" cy="3519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18</xdr:col>
      <xdr:colOff>167399</xdr:colOff>
      <xdr:row>44</xdr:row>
      <xdr:rowOff>0</xdr:rowOff>
    </xdr:from>
    <xdr:to>
      <xdr:col>18</xdr:col>
      <xdr:colOff>295965</xdr:colOff>
      <xdr:row>45</xdr:row>
      <xdr:rowOff>174891</xdr:rowOff>
    </xdr:to>
    <xdr:sp macro="" textlink="">
      <xdr:nvSpPr>
        <xdr:cNvPr id="93" name="Down Arrow 92"/>
        <xdr:cNvSpPr/>
      </xdr:nvSpPr>
      <xdr:spPr>
        <a:xfrm>
          <a:off x="12187949" y="9191625"/>
          <a:ext cx="128566" cy="36539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19</xdr:col>
      <xdr:colOff>167399</xdr:colOff>
      <xdr:row>43</xdr:row>
      <xdr:rowOff>200254</xdr:rowOff>
    </xdr:from>
    <xdr:to>
      <xdr:col>19</xdr:col>
      <xdr:colOff>295965</xdr:colOff>
      <xdr:row>45</xdr:row>
      <xdr:rowOff>171219</xdr:rowOff>
    </xdr:to>
    <xdr:sp macro="" textlink="">
      <xdr:nvSpPr>
        <xdr:cNvPr id="94" name="Down Arrow 93"/>
        <xdr:cNvSpPr/>
      </xdr:nvSpPr>
      <xdr:spPr>
        <a:xfrm>
          <a:off x="12797549" y="9191854"/>
          <a:ext cx="128566" cy="361490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20</xdr:col>
      <xdr:colOff>212222</xdr:colOff>
      <xdr:row>44</xdr:row>
      <xdr:rowOff>9755</xdr:rowOff>
    </xdr:from>
    <xdr:to>
      <xdr:col>20</xdr:col>
      <xdr:colOff>340788</xdr:colOff>
      <xdr:row>45</xdr:row>
      <xdr:rowOff>171220</xdr:rowOff>
    </xdr:to>
    <xdr:sp macro="" textlink="">
      <xdr:nvSpPr>
        <xdr:cNvPr id="95" name="Down Arrow 94"/>
        <xdr:cNvSpPr/>
      </xdr:nvSpPr>
      <xdr:spPr>
        <a:xfrm>
          <a:off x="13451972" y="9201380"/>
          <a:ext cx="128566" cy="3519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21</xdr:col>
      <xdr:colOff>234637</xdr:colOff>
      <xdr:row>44</xdr:row>
      <xdr:rowOff>9755</xdr:rowOff>
    </xdr:from>
    <xdr:to>
      <xdr:col>21</xdr:col>
      <xdr:colOff>363203</xdr:colOff>
      <xdr:row>45</xdr:row>
      <xdr:rowOff>171220</xdr:rowOff>
    </xdr:to>
    <xdr:sp macro="" textlink="">
      <xdr:nvSpPr>
        <xdr:cNvPr id="96" name="Down Arrow 95"/>
        <xdr:cNvSpPr/>
      </xdr:nvSpPr>
      <xdr:spPr>
        <a:xfrm>
          <a:off x="14083987" y="9201380"/>
          <a:ext cx="128566" cy="3519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22</xdr:col>
      <xdr:colOff>257048</xdr:colOff>
      <xdr:row>44</xdr:row>
      <xdr:rowOff>20960</xdr:rowOff>
    </xdr:from>
    <xdr:to>
      <xdr:col>22</xdr:col>
      <xdr:colOff>385614</xdr:colOff>
      <xdr:row>45</xdr:row>
      <xdr:rowOff>182425</xdr:rowOff>
    </xdr:to>
    <xdr:sp macro="" textlink="">
      <xdr:nvSpPr>
        <xdr:cNvPr id="97" name="Down Arrow 96"/>
        <xdr:cNvSpPr/>
      </xdr:nvSpPr>
      <xdr:spPr>
        <a:xfrm>
          <a:off x="14715998" y="9212585"/>
          <a:ext cx="128566" cy="3519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23</xdr:col>
      <xdr:colOff>257050</xdr:colOff>
      <xdr:row>44</xdr:row>
      <xdr:rowOff>20960</xdr:rowOff>
    </xdr:from>
    <xdr:to>
      <xdr:col>23</xdr:col>
      <xdr:colOff>385616</xdr:colOff>
      <xdr:row>45</xdr:row>
      <xdr:rowOff>182425</xdr:rowOff>
    </xdr:to>
    <xdr:sp macro="" textlink="">
      <xdr:nvSpPr>
        <xdr:cNvPr id="98" name="Down Arrow 97"/>
        <xdr:cNvSpPr/>
      </xdr:nvSpPr>
      <xdr:spPr>
        <a:xfrm>
          <a:off x="15325600" y="9212585"/>
          <a:ext cx="128566" cy="3519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199115</xdr:colOff>
      <xdr:row>26</xdr:row>
      <xdr:rowOff>14927</xdr:rowOff>
    </xdr:from>
    <xdr:to>
      <xdr:col>24</xdr:col>
      <xdr:colOff>310201</xdr:colOff>
      <xdr:row>27</xdr:row>
      <xdr:rowOff>166592</xdr:rowOff>
    </xdr:to>
    <xdr:sp macro="" textlink="">
      <xdr:nvSpPr>
        <xdr:cNvPr id="99" name="Down Arrow 98"/>
        <xdr:cNvSpPr/>
      </xdr:nvSpPr>
      <xdr:spPr>
        <a:xfrm>
          <a:off x="15877265" y="5348927"/>
          <a:ext cx="111086" cy="3421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10</xdr:col>
      <xdr:colOff>192996</xdr:colOff>
      <xdr:row>26</xdr:row>
      <xdr:rowOff>6885</xdr:rowOff>
    </xdr:from>
    <xdr:to>
      <xdr:col>10</xdr:col>
      <xdr:colOff>315191</xdr:colOff>
      <xdr:row>27</xdr:row>
      <xdr:rowOff>178171</xdr:rowOff>
    </xdr:to>
    <xdr:sp macro="" textlink="">
      <xdr:nvSpPr>
        <xdr:cNvPr id="100" name="Down Arrow 99"/>
        <xdr:cNvSpPr/>
      </xdr:nvSpPr>
      <xdr:spPr>
        <a:xfrm>
          <a:off x="7308171" y="5340885"/>
          <a:ext cx="122195" cy="361786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243376</xdr:colOff>
      <xdr:row>33</xdr:row>
      <xdr:rowOff>199591</xdr:rowOff>
    </xdr:from>
    <xdr:to>
      <xdr:col>25</xdr:col>
      <xdr:colOff>354462</xdr:colOff>
      <xdr:row>34</xdr:row>
      <xdr:rowOff>179727</xdr:rowOff>
    </xdr:to>
    <xdr:sp macro="" textlink="">
      <xdr:nvSpPr>
        <xdr:cNvPr id="101" name="Down Arrow 100"/>
        <xdr:cNvSpPr/>
      </xdr:nvSpPr>
      <xdr:spPr>
        <a:xfrm>
          <a:off x="16531126" y="7057591"/>
          <a:ext cx="111086" cy="18016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265790</xdr:colOff>
      <xdr:row>34</xdr:row>
      <xdr:rowOff>9091</xdr:rowOff>
    </xdr:from>
    <xdr:to>
      <xdr:col>26</xdr:col>
      <xdr:colOff>376876</xdr:colOff>
      <xdr:row>34</xdr:row>
      <xdr:rowOff>190933</xdr:rowOff>
    </xdr:to>
    <xdr:sp macro="" textlink="">
      <xdr:nvSpPr>
        <xdr:cNvPr id="102" name="Down Arrow 101"/>
        <xdr:cNvSpPr/>
      </xdr:nvSpPr>
      <xdr:spPr>
        <a:xfrm>
          <a:off x="17163140" y="7067116"/>
          <a:ext cx="111086" cy="1818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24</xdr:col>
      <xdr:colOff>167399</xdr:colOff>
      <xdr:row>44</xdr:row>
      <xdr:rowOff>9755</xdr:rowOff>
    </xdr:from>
    <xdr:to>
      <xdr:col>24</xdr:col>
      <xdr:colOff>295965</xdr:colOff>
      <xdr:row>45</xdr:row>
      <xdr:rowOff>171220</xdr:rowOff>
    </xdr:to>
    <xdr:sp macro="" textlink="">
      <xdr:nvSpPr>
        <xdr:cNvPr id="103" name="Down Arrow 102"/>
        <xdr:cNvSpPr/>
      </xdr:nvSpPr>
      <xdr:spPr>
        <a:xfrm>
          <a:off x="15845549" y="9201380"/>
          <a:ext cx="128566" cy="3519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189813</xdr:colOff>
      <xdr:row>44</xdr:row>
      <xdr:rowOff>9754</xdr:rowOff>
    </xdr:from>
    <xdr:to>
      <xdr:col>25</xdr:col>
      <xdr:colOff>318379</xdr:colOff>
      <xdr:row>45</xdr:row>
      <xdr:rowOff>171219</xdr:rowOff>
    </xdr:to>
    <xdr:sp macro="" textlink="">
      <xdr:nvSpPr>
        <xdr:cNvPr id="104" name="Down Arrow 103"/>
        <xdr:cNvSpPr/>
      </xdr:nvSpPr>
      <xdr:spPr>
        <a:xfrm>
          <a:off x="16477563" y="9201379"/>
          <a:ext cx="128566" cy="3519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189814</xdr:colOff>
      <xdr:row>44</xdr:row>
      <xdr:rowOff>9754</xdr:rowOff>
    </xdr:from>
    <xdr:to>
      <xdr:col>26</xdr:col>
      <xdr:colOff>318380</xdr:colOff>
      <xdr:row>45</xdr:row>
      <xdr:rowOff>171219</xdr:rowOff>
    </xdr:to>
    <xdr:sp macro="" textlink="">
      <xdr:nvSpPr>
        <xdr:cNvPr id="105" name="Down Arrow 104"/>
        <xdr:cNvSpPr/>
      </xdr:nvSpPr>
      <xdr:spPr>
        <a:xfrm>
          <a:off x="17087164" y="9201379"/>
          <a:ext cx="128566" cy="3519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187908</xdr:colOff>
      <xdr:row>26</xdr:row>
      <xdr:rowOff>26133</xdr:rowOff>
    </xdr:from>
    <xdr:to>
      <xdr:col>26</xdr:col>
      <xdr:colOff>298994</xdr:colOff>
      <xdr:row>27</xdr:row>
      <xdr:rowOff>177798</xdr:rowOff>
    </xdr:to>
    <xdr:sp macro="" textlink="">
      <xdr:nvSpPr>
        <xdr:cNvPr id="106" name="Down Arrow 105"/>
        <xdr:cNvSpPr/>
      </xdr:nvSpPr>
      <xdr:spPr>
        <a:xfrm>
          <a:off x="17085258" y="5360133"/>
          <a:ext cx="111086" cy="3421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176703</xdr:colOff>
      <xdr:row>26</xdr:row>
      <xdr:rowOff>26133</xdr:rowOff>
    </xdr:from>
    <xdr:to>
      <xdr:col>25</xdr:col>
      <xdr:colOff>287789</xdr:colOff>
      <xdr:row>27</xdr:row>
      <xdr:rowOff>177798</xdr:rowOff>
    </xdr:to>
    <xdr:sp macro="" textlink="">
      <xdr:nvSpPr>
        <xdr:cNvPr id="107" name="Down Arrow 106"/>
        <xdr:cNvSpPr/>
      </xdr:nvSpPr>
      <xdr:spPr>
        <a:xfrm>
          <a:off x="16464453" y="5360133"/>
          <a:ext cx="111086" cy="3421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25</xdr:col>
      <xdr:colOff>194628</xdr:colOff>
      <xdr:row>2</xdr:row>
      <xdr:rowOff>195045</xdr:rowOff>
    </xdr:from>
    <xdr:to>
      <xdr:col>25</xdr:col>
      <xdr:colOff>305714</xdr:colOff>
      <xdr:row>4</xdr:row>
      <xdr:rowOff>179221</xdr:rowOff>
    </xdr:to>
    <xdr:sp macro="" textlink="">
      <xdr:nvSpPr>
        <xdr:cNvPr id="108" name="Down Arrow 107"/>
        <xdr:cNvSpPr/>
      </xdr:nvSpPr>
      <xdr:spPr>
        <a:xfrm>
          <a:off x="16482378" y="604620"/>
          <a:ext cx="111086" cy="37470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26</xdr:col>
      <xdr:colOff>201351</xdr:colOff>
      <xdr:row>2</xdr:row>
      <xdr:rowOff>190563</xdr:rowOff>
    </xdr:from>
    <xdr:to>
      <xdr:col>26</xdr:col>
      <xdr:colOff>312437</xdr:colOff>
      <xdr:row>4</xdr:row>
      <xdr:rowOff>174739</xdr:rowOff>
    </xdr:to>
    <xdr:sp macro="" textlink="">
      <xdr:nvSpPr>
        <xdr:cNvPr id="109" name="Down Arrow 108"/>
        <xdr:cNvSpPr/>
      </xdr:nvSpPr>
      <xdr:spPr>
        <a:xfrm>
          <a:off x="17098701" y="600138"/>
          <a:ext cx="111086" cy="37470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265790</xdr:colOff>
      <xdr:row>34</xdr:row>
      <xdr:rowOff>9091</xdr:rowOff>
    </xdr:from>
    <xdr:to>
      <xdr:col>27</xdr:col>
      <xdr:colOff>376876</xdr:colOff>
      <xdr:row>34</xdr:row>
      <xdr:rowOff>190933</xdr:rowOff>
    </xdr:to>
    <xdr:sp macro="" textlink="">
      <xdr:nvSpPr>
        <xdr:cNvPr id="110" name="Down Arrow 109"/>
        <xdr:cNvSpPr/>
      </xdr:nvSpPr>
      <xdr:spPr>
        <a:xfrm>
          <a:off x="17134565" y="7067116"/>
          <a:ext cx="111086" cy="181842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189814</xdr:colOff>
      <xdr:row>44</xdr:row>
      <xdr:rowOff>9754</xdr:rowOff>
    </xdr:from>
    <xdr:to>
      <xdr:col>27</xdr:col>
      <xdr:colOff>318380</xdr:colOff>
      <xdr:row>45</xdr:row>
      <xdr:rowOff>171219</xdr:rowOff>
    </xdr:to>
    <xdr:sp macro="" textlink="">
      <xdr:nvSpPr>
        <xdr:cNvPr id="111" name="Down Arrow 110"/>
        <xdr:cNvSpPr/>
      </xdr:nvSpPr>
      <xdr:spPr>
        <a:xfrm>
          <a:off x="17058589" y="9201379"/>
          <a:ext cx="128566" cy="3519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187908</xdr:colOff>
      <xdr:row>26</xdr:row>
      <xdr:rowOff>26133</xdr:rowOff>
    </xdr:from>
    <xdr:to>
      <xdr:col>27</xdr:col>
      <xdr:colOff>298994</xdr:colOff>
      <xdr:row>27</xdr:row>
      <xdr:rowOff>177798</xdr:rowOff>
    </xdr:to>
    <xdr:sp macro="" textlink="">
      <xdr:nvSpPr>
        <xdr:cNvPr id="112" name="Down Arrow 111"/>
        <xdr:cNvSpPr/>
      </xdr:nvSpPr>
      <xdr:spPr>
        <a:xfrm>
          <a:off x="17056683" y="5360133"/>
          <a:ext cx="111086" cy="342165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27</xdr:col>
      <xdr:colOff>201351</xdr:colOff>
      <xdr:row>2</xdr:row>
      <xdr:rowOff>190563</xdr:rowOff>
    </xdr:from>
    <xdr:to>
      <xdr:col>27</xdr:col>
      <xdr:colOff>312437</xdr:colOff>
      <xdr:row>4</xdr:row>
      <xdr:rowOff>174739</xdr:rowOff>
    </xdr:to>
    <xdr:sp macro="" textlink="">
      <xdr:nvSpPr>
        <xdr:cNvPr id="113" name="Down Arrow 112"/>
        <xdr:cNvSpPr/>
      </xdr:nvSpPr>
      <xdr:spPr>
        <a:xfrm>
          <a:off x="17070126" y="600138"/>
          <a:ext cx="111086" cy="374701"/>
        </a:xfrm>
        <a:prstGeom prst="down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2"/>
  <sheetViews>
    <sheetView workbookViewId="0">
      <selection activeCell="F14" sqref="F14"/>
    </sheetView>
  </sheetViews>
  <sheetFormatPr defaultRowHeight="15" x14ac:dyDescent="0.25"/>
  <cols>
    <col min="1" max="1" width="10.28515625" style="13" customWidth="1"/>
  </cols>
  <sheetData>
    <row r="1" spans="1:46" ht="77.25" thickBot="1" x14ac:dyDescent="0.3">
      <c r="A1" s="11" t="s">
        <v>0</v>
      </c>
      <c r="B1" s="2" t="s">
        <v>1</v>
      </c>
      <c r="C1" s="3" t="s">
        <v>2</v>
      </c>
      <c r="D1" s="1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6" t="s">
        <v>15</v>
      </c>
      <c r="Q1" s="6" t="s">
        <v>16</v>
      </c>
      <c r="R1" s="6" t="s">
        <v>17</v>
      </c>
      <c r="S1" s="6" t="s">
        <v>18</v>
      </c>
      <c r="T1" s="7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3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3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3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3" t="s">
        <v>39</v>
      </c>
      <c r="AO1" s="2" t="s">
        <v>3</v>
      </c>
      <c r="AP1" s="2" t="s">
        <v>40</v>
      </c>
      <c r="AQ1" s="2" t="s">
        <v>41</v>
      </c>
      <c r="AR1" s="2" t="s">
        <v>42</v>
      </c>
      <c r="AS1" s="2" t="s">
        <v>3</v>
      </c>
      <c r="AT1" s="3" t="s">
        <v>43</v>
      </c>
    </row>
    <row r="2" spans="1:46" ht="15.75" thickBot="1" x14ac:dyDescent="0.3">
      <c r="A2" s="12">
        <v>45931</v>
      </c>
      <c r="B2" s="9"/>
      <c r="C2" s="9"/>
      <c r="D2" s="9">
        <f>B2+C2</f>
        <v>0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  <c r="AM2" s="9"/>
      <c r="AN2" s="9"/>
      <c r="AO2" s="9"/>
      <c r="AP2" s="9"/>
      <c r="AQ2" s="9"/>
      <c r="AR2" s="9"/>
      <c r="AS2" s="9">
        <f>AQ2+AR2</f>
        <v>0</v>
      </c>
      <c r="AT2" s="9"/>
    </row>
    <row r="3" spans="1:46" ht="15.75" thickBot="1" x14ac:dyDescent="0.3">
      <c r="A3" s="12">
        <v>45932</v>
      </c>
      <c r="B3" s="9"/>
      <c r="C3" s="9"/>
      <c r="D3" s="9">
        <f t="shared" ref="D3:D26" si="0">B3+C3</f>
        <v>0</v>
      </c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>
        <f t="shared" ref="AS3:AS26" si="1">AQ3+AR3</f>
        <v>0</v>
      </c>
      <c r="AT3" s="9"/>
    </row>
    <row r="4" spans="1:46" ht="15.75" thickBot="1" x14ac:dyDescent="0.3">
      <c r="A4" s="12">
        <v>45933</v>
      </c>
      <c r="B4" s="9"/>
      <c r="C4" s="9"/>
      <c r="D4" s="9">
        <f t="shared" si="0"/>
        <v>0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  <c r="AG4" s="9"/>
      <c r="AH4" s="9"/>
      <c r="AI4" s="9"/>
      <c r="AJ4" s="9"/>
      <c r="AK4" s="9"/>
      <c r="AL4" s="9"/>
      <c r="AM4" s="9"/>
      <c r="AN4" s="9"/>
      <c r="AO4" s="9"/>
      <c r="AP4" s="9"/>
      <c r="AQ4" s="9"/>
      <c r="AR4" s="9"/>
      <c r="AS4" s="9">
        <f t="shared" si="1"/>
        <v>0</v>
      </c>
      <c r="AT4" s="9"/>
    </row>
    <row r="5" spans="1:46" ht="15.75" thickBot="1" x14ac:dyDescent="0.3">
      <c r="A5" s="12">
        <v>45934</v>
      </c>
      <c r="B5" s="9"/>
      <c r="C5" s="9"/>
      <c r="D5" s="9">
        <f t="shared" si="0"/>
        <v>0</v>
      </c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>
        <f t="shared" si="1"/>
        <v>0</v>
      </c>
      <c r="AT5" s="9"/>
    </row>
    <row r="6" spans="1:46" ht="15.75" thickBot="1" x14ac:dyDescent="0.3">
      <c r="A6" s="12">
        <v>45935</v>
      </c>
      <c r="B6" s="9"/>
      <c r="C6" s="9"/>
      <c r="D6" s="9">
        <f t="shared" si="0"/>
        <v>0</v>
      </c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>
        <f t="shared" si="1"/>
        <v>0</v>
      </c>
      <c r="AT6" s="9"/>
    </row>
    <row r="7" spans="1:46" ht="15.75" thickBot="1" x14ac:dyDescent="0.3">
      <c r="A7" s="12">
        <v>45936</v>
      </c>
      <c r="B7" s="9"/>
      <c r="C7" s="9"/>
      <c r="D7" s="9">
        <f t="shared" si="0"/>
        <v>0</v>
      </c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>
        <f t="shared" si="1"/>
        <v>0</v>
      </c>
      <c r="AT7" s="9"/>
    </row>
    <row r="8" spans="1:46" ht="15.75" thickBot="1" x14ac:dyDescent="0.3">
      <c r="A8" s="12">
        <v>45937</v>
      </c>
      <c r="B8" s="9"/>
      <c r="C8" s="9"/>
      <c r="D8" s="9">
        <f t="shared" si="0"/>
        <v>0</v>
      </c>
      <c r="E8" s="9"/>
      <c r="F8" s="9"/>
      <c r="G8" s="9"/>
      <c r="H8" s="9"/>
      <c r="I8" s="9"/>
      <c r="J8" s="9"/>
      <c r="K8" s="9"/>
      <c r="L8" s="9"/>
      <c r="M8" s="10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>
        <f t="shared" si="1"/>
        <v>0</v>
      </c>
      <c r="AT8" s="9"/>
    </row>
    <row r="9" spans="1:46" ht="15.75" thickBot="1" x14ac:dyDescent="0.3">
      <c r="A9" s="12">
        <v>45938</v>
      </c>
      <c r="B9" s="9"/>
      <c r="C9" s="9"/>
      <c r="D9" s="9">
        <f t="shared" si="0"/>
        <v>0</v>
      </c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9"/>
      <c r="AS9" s="9">
        <f t="shared" si="1"/>
        <v>0</v>
      </c>
      <c r="AT9" s="9"/>
    </row>
    <row r="10" spans="1:46" ht="15.75" thickBot="1" x14ac:dyDescent="0.3">
      <c r="A10" s="12">
        <v>45939</v>
      </c>
      <c r="B10" s="9"/>
      <c r="C10" s="9"/>
      <c r="D10" s="9">
        <f t="shared" si="0"/>
        <v>0</v>
      </c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>
        <f t="shared" si="1"/>
        <v>0</v>
      </c>
      <c r="AT10" s="9"/>
    </row>
    <row r="11" spans="1:46" ht="15.75" thickBot="1" x14ac:dyDescent="0.3">
      <c r="A11" s="12">
        <v>45940</v>
      </c>
      <c r="B11" s="9"/>
      <c r="C11" s="9"/>
      <c r="D11" s="9">
        <f t="shared" si="0"/>
        <v>0</v>
      </c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>
        <f t="shared" si="1"/>
        <v>0</v>
      </c>
      <c r="AT11" s="9"/>
    </row>
    <row r="12" spans="1:46" ht="15.75" thickBot="1" x14ac:dyDescent="0.3">
      <c r="A12" s="12">
        <v>45941</v>
      </c>
      <c r="B12" s="9"/>
      <c r="C12" s="9"/>
      <c r="D12" s="9">
        <f t="shared" si="0"/>
        <v>0</v>
      </c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>
        <f t="shared" si="1"/>
        <v>0</v>
      </c>
      <c r="AT12" s="9"/>
    </row>
    <row r="13" spans="1:46" ht="15.75" thickBot="1" x14ac:dyDescent="0.3">
      <c r="A13" s="12">
        <v>45942</v>
      </c>
      <c r="B13" s="9"/>
      <c r="C13" s="9"/>
      <c r="D13" s="9">
        <f t="shared" si="0"/>
        <v>0</v>
      </c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>
        <f t="shared" si="1"/>
        <v>0</v>
      </c>
      <c r="AT13" s="9"/>
    </row>
    <row r="14" spans="1:46" ht="15.75" thickBot="1" x14ac:dyDescent="0.3">
      <c r="A14" s="12">
        <v>45943</v>
      </c>
      <c r="B14" s="9"/>
      <c r="C14" s="9"/>
      <c r="D14" s="9">
        <f t="shared" si="0"/>
        <v>0</v>
      </c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>
        <f t="shared" si="1"/>
        <v>0</v>
      </c>
      <c r="AT14" s="9"/>
    </row>
    <row r="15" spans="1:46" ht="15.75" thickBot="1" x14ac:dyDescent="0.3">
      <c r="A15" s="12">
        <v>45944</v>
      </c>
      <c r="B15" s="9"/>
      <c r="C15" s="9"/>
      <c r="D15" s="9">
        <f t="shared" si="0"/>
        <v>0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>
        <f t="shared" si="1"/>
        <v>0</v>
      </c>
      <c r="AT15" s="9"/>
    </row>
    <row r="16" spans="1:46" ht="15.75" thickBot="1" x14ac:dyDescent="0.3">
      <c r="A16" s="12">
        <v>45945</v>
      </c>
      <c r="B16" s="9"/>
      <c r="C16" s="9"/>
      <c r="D16" s="9">
        <f t="shared" si="0"/>
        <v>0</v>
      </c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>
        <f t="shared" si="1"/>
        <v>0</v>
      </c>
      <c r="AT16" s="9"/>
    </row>
    <row r="17" spans="1:46" ht="15.75" thickBot="1" x14ac:dyDescent="0.3">
      <c r="A17" s="12">
        <v>45946</v>
      </c>
      <c r="B17" s="9"/>
      <c r="C17" s="9"/>
      <c r="D17" s="9">
        <f t="shared" si="0"/>
        <v>0</v>
      </c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>
        <f t="shared" si="1"/>
        <v>0</v>
      </c>
      <c r="AT17" s="9"/>
    </row>
    <row r="18" spans="1:46" ht="15.75" thickBot="1" x14ac:dyDescent="0.3">
      <c r="A18" s="12">
        <v>45947</v>
      </c>
      <c r="B18" s="9"/>
      <c r="C18" s="9"/>
      <c r="D18" s="9">
        <f t="shared" si="0"/>
        <v>0</v>
      </c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>
        <f t="shared" si="1"/>
        <v>0</v>
      </c>
      <c r="AT18" s="9"/>
    </row>
    <row r="19" spans="1:46" ht="15.75" thickBot="1" x14ac:dyDescent="0.3">
      <c r="A19" s="12">
        <v>45948</v>
      </c>
      <c r="B19" s="9"/>
      <c r="C19" s="9"/>
      <c r="D19" s="9">
        <f t="shared" si="0"/>
        <v>0</v>
      </c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>
        <f t="shared" si="1"/>
        <v>0</v>
      </c>
      <c r="AT19" s="9"/>
    </row>
    <row r="20" spans="1:46" ht="15.75" thickBot="1" x14ac:dyDescent="0.3">
      <c r="A20" s="12">
        <v>45949</v>
      </c>
      <c r="B20" s="9"/>
      <c r="C20" s="9"/>
      <c r="D20" s="9">
        <f t="shared" si="0"/>
        <v>0</v>
      </c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>
        <f t="shared" si="1"/>
        <v>0</v>
      </c>
      <c r="AT20" s="9"/>
    </row>
    <row r="21" spans="1:46" ht="15.75" thickBot="1" x14ac:dyDescent="0.3">
      <c r="A21" s="12">
        <v>45950</v>
      </c>
      <c r="B21" s="9"/>
      <c r="C21" s="9"/>
      <c r="D21" s="9">
        <f t="shared" si="0"/>
        <v>0</v>
      </c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>
        <f t="shared" si="1"/>
        <v>0</v>
      </c>
      <c r="AT21" s="9"/>
    </row>
    <row r="22" spans="1:46" ht="15.75" thickBot="1" x14ac:dyDescent="0.3">
      <c r="A22" s="12">
        <v>45951</v>
      </c>
      <c r="B22" s="9"/>
      <c r="C22" s="9"/>
      <c r="D22" s="9">
        <f t="shared" si="0"/>
        <v>0</v>
      </c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>
        <f t="shared" si="1"/>
        <v>0</v>
      </c>
      <c r="AT22" s="9"/>
    </row>
    <row r="23" spans="1:46" ht="15.75" thickBot="1" x14ac:dyDescent="0.3">
      <c r="A23" s="12">
        <v>45952</v>
      </c>
      <c r="B23" s="9"/>
      <c r="C23" s="9"/>
      <c r="D23" s="9">
        <f t="shared" si="0"/>
        <v>0</v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>
        <f t="shared" si="1"/>
        <v>0</v>
      </c>
      <c r="AT23" s="9"/>
    </row>
    <row r="24" spans="1:46" ht="15.75" thickBot="1" x14ac:dyDescent="0.3">
      <c r="A24" s="12">
        <v>45953</v>
      </c>
      <c r="B24" s="9"/>
      <c r="C24" s="9"/>
      <c r="D24" s="9">
        <f t="shared" si="0"/>
        <v>0</v>
      </c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>
        <f t="shared" si="1"/>
        <v>0</v>
      </c>
      <c r="AT24" s="9"/>
    </row>
    <row r="25" spans="1:46" ht="15.75" thickBot="1" x14ac:dyDescent="0.3">
      <c r="A25" s="12">
        <v>45954</v>
      </c>
      <c r="B25" s="9"/>
      <c r="C25" s="9"/>
      <c r="D25" s="9">
        <f t="shared" si="0"/>
        <v>0</v>
      </c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>
        <f t="shared" si="1"/>
        <v>0</v>
      </c>
      <c r="AT25" s="9"/>
    </row>
    <row r="26" spans="1:46" ht="15.75" thickBot="1" x14ac:dyDescent="0.3">
      <c r="A26" s="12">
        <v>45955</v>
      </c>
      <c r="B26" s="9"/>
      <c r="C26" s="9"/>
      <c r="D26" s="9">
        <f t="shared" si="0"/>
        <v>0</v>
      </c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>
        <f t="shared" si="1"/>
        <v>0</v>
      </c>
      <c r="AT26" s="9"/>
    </row>
    <row r="27" spans="1:46" ht="18" customHeight="1" thickBot="1" x14ac:dyDescent="0.3">
      <c r="A27" s="12">
        <v>45956</v>
      </c>
      <c r="B27" s="9"/>
      <c r="C27" s="9"/>
      <c r="D27" s="9">
        <f>B27+C27</f>
        <v>0</v>
      </c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>
        <f>AQ27+AR27</f>
        <v>0</v>
      </c>
      <c r="AT27" s="9"/>
    </row>
    <row r="28" spans="1:46" ht="18" customHeight="1" thickBot="1" x14ac:dyDescent="0.3">
      <c r="A28" s="12">
        <v>45957</v>
      </c>
      <c r="B28" s="9"/>
      <c r="C28" s="9"/>
      <c r="D28" s="9">
        <f>B28+C28</f>
        <v>0</v>
      </c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>
        <f>AQ28+AR28</f>
        <v>0</v>
      </c>
      <c r="AT28" s="9"/>
    </row>
    <row r="29" spans="1:46" ht="18" customHeight="1" thickBot="1" x14ac:dyDescent="0.3">
      <c r="A29" s="12">
        <v>45958</v>
      </c>
      <c r="B29" s="9"/>
      <c r="C29" s="9"/>
      <c r="D29" s="9">
        <f t="shared" ref="D29:D32" si="2">B29+C29</f>
        <v>0</v>
      </c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>
        <f t="shared" ref="AS29:AS32" si="3">AQ29+AR29</f>
        <v>0</v>
      </c>
      <c r="AT29" s="9"/>
    </row>
    <row r="30" spans="1:46" ht="18" customHeight="1" thickBot="1" x14ac:dyDescent="0.3">
      <c r="A30" s="12">
        <v>45959</v>
      </c>
      <c r="B30" s="9"/>
      <c r="C30" s="9"/>
      <c r="D30" s="9">
        <f t="shared" si="2"/>
        <v>0</v>
      </c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>
        <f t="shared" si="3"/>
        <v>0</v>
      </c>
      <c r="AT30" s="9"/>
    </row>
    <row r="31" spans="1:46" ht="18" customHeight="1" thickBot="1" x14ac:dyDescent="0.3">
      <c r="A31" s="12">
        <v>45960</v>
      </c>
      <c r="B31" s="9"/>
      <c r="C31" s="9"/>
      <c r="D31" s="9">
        <f t="shared" si="2"/>
        <v>0</v>
      </c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>
        <f t="shared" si="3"/>
        <v>0</v>
      </c>
      <c r="AT31" s="9"/>
    </row>
    <row r="32" spans="1:46" ht="18" customHeight="1" thickBot="1" x14ac:dyDescent="0.3">
      <c r="A32" s="12">
        <v>45961</v>
      </c>
      <c r="B32" s="9"/>
      <c r="C32" s="9"/>
      <c r="D32" s="9">
        <f t="shared" si="2"/>
        <v>0</v>
      </c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>
        <f t="shared" si="3"/>
        <v>0</v>
      </c>
      <c r="AT32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"/>
  <sheetViews>
    <sheetView workbookViewId="0">
      <selection activeCell="K12" sqref="K12"/>
    </sheetView>
  </sheetViews>
  <sheetFormatPr defaultRowHeight="15" x14ac:dyDescent="0.25"/>
  <cols>
    <col min="1" max="1" width="10.140625" customWidth="1"/>
    <col min="3" max="3" width="6.85546875" customWidth="1"/>
    <col min="5" max="5" width="9.85546875" customWidth="1"/>
  </cols>
  <sheetData>
    <row r="1" spans="1:7" ht="75.75" thickBot="1" x14ac:dyDescent="0.3">
      <c r="A1" s="14" t="s">
        <v>0</v>
      </c>
      <c r="B1" s="15" t="s">
        <v>44</v>
      </c>
      <c r="C1" s="16" t="s">
        <v>45</v>
      </c>
      <c r="D1" s="15" t="s">
        <v>46</v>
      </c>
      <c r="E1" s="17" t="s">
        <v>5</v>
      </c>
      <c r="F1" s="17" t="s">
        <v>47</v>
      </c>
      <c r="G1" s="17" t="s">
        <v>48</v>
      </c>
    </row>
    <row r="2" spans="1:7" ht="15.75" thickBot="1" x14ac:dyDescent="0.3">
      <c r="A2" s="8">
        <v>45931</v>
      </c>
      <c r="B2" s="18"/>
      <c r="C2" s="19"/>
      <c r="D2" s="18"/>
      <c r="E2" s="20"/>
      <c r="F2" s="21">
        <f>SUM(B2:E2)</f>
        <v>0</v>
      </c>
      <c r="G2" s="21">
        <f>SUM(B2:E2)-C2</f>
        <v>0</v>
      </c>
    </row>
    <row r="3" spans="1:7" ht="15.75" thickBot="1" x14ac:dyDescent="0.3">
      <c r="A3" s="8">
        <v>45932</v>
      </c>
      <c r="B3" s="21"/>
      <c r="C3" s="22"/>
      <c r="D3" s="21"/>
      <c r="E3" s="23"/>
      <c r="F3" s="21">
        <f t="shared" ref="F3:F26" si="0">SUM(B3:E3)</f>
        <v>0</v>
      </c>
      <c r="G3" s="21">
        <f t="shared" ref="G3:G26" si="1">SUM(B3:E3)-C3</f>
        <v>0</v>
      </c>
    </row>
    <row r="4" spans="1:7" ht="15.75" thickBot="1" x14ac:dyDescent="0.3">
      <c r="A4" s="8">
        <v>45933</v>
      </c>
      <c r="B4" s="18"/>
      <c r="C4" s="19"/>
      <c r="D4" s="18"/>
      <c r="E4" s="20"/>
      <c r="F4" s="21">
        <f t="shared" si="0"/>
        <v>0</v>
      </c>
      <c r="G4" s="21">
        <f t="shared" si="1"/>
        <v>0</v>
      </c>
    </row>
    <row r="5" spans="1:7" ht="15.75" thickBot="1" x14ac:dyDescent="0.3">
      <c r="A5" s="8">
        <v>45934</v>
      </c>
      <c r="B5" s="21"/>
      <c r="C5" s="22"/>
      <c r="D5" s="21"/>
      <c r="E5" s="23"/>
      <c r="F5" s="21">
        <f t="shared" si="0"/>
        <v>0</v>
      </c>
      <c r="G5" s="21">
        <f t="shared" si="1"/>
        <v>0</v>
      </c>
    </row>
    <row r="6" spans="1:7" ht="15.75" thickBot="1" x14ac:dyDescent="0.3">
      <c r="A6" s="8">
        <v>45935</v>
      </c>
      <c r="B6" s="18"/>
      <c r="C6" s="19"/>
      <c r="D6" s="18"/>
      <c r="E6" s="20"/>
      <c r="F6" s="21">
        <f t="shared" si="0"/>
        <v>0</v>
      </c>
      <c r="G6" s="21">
        <f t="shared" si="1"/>
        <v>0</v>
      </c>
    </row>
    <row r="7" spans="1:7" ht="15.75" thickBot="1" x14ac:dyDescent="0.3">
      <c r="A7" s="8">
        <v>45936</v>
      </c>
      <c r="B7" s="21"/>
      <c r="C7" s="22"/>
      <c r="D7" s="21"/>
      <c r="E7" s="23"/>
      <c r="F7" s="21">
        <f t="shared" si="0"/>
        <v>0</v>
      </c>
      <c r="G7" s="21">
        <f t="shared" si="1"/>
        <v>0</v>
      </c>
    </row>
    <row r="8" spans="1:7" ht="15.75" thickBot="1" x14ac:dyDescent="0.3">
      <c r="A8" s="8">
        <v>45937</v>
      </c>
      <c r="B8" s="18"/>
      <c r="C8" s="19"/>
      <c r="D8" s="18"/>
      <c r="E8" s="20"/>
      <c r="F8" s="21">
        <f t="shared" si="0"/>
        <v>0</v>
      </c>
      <c r="G8" s="21">
        <f t="shared" si="1"/>
        <v>0</v>
      </c>
    </row>
    <row r="9" spans="1:7" ht="15.75" thickBot="1" x14ac:dyDescent="0.3">
      <c r="A9" s="8">
        <v>45938</v>
      </c>
      <c r="B9" s="21"/>
      <c r="C9" s="22"/>
      <c r="D9" s="21"/>
      <c r="E9" s="23"/>
      <c r="F9" s="21">
        <f t="shared" si="0"/>
        <v>0</v>
      </c>
      <c r="G9" s="21">
        <f t="shared" si="1"/>
        <v>0</v>
      </c>
    </row>
    <row r="10" spans="1:7" ht="15.75" thickBot="1" x14ac:dyDescent="0.3">
      <c r="A10" s="8">
        <v>45939</v>
      </c>
      <c r="B10" s="18"/>
      <c r="C10" s="19"/>
      <c r="D10" s="18"/>
      <c r="E10" s="20"/>
      <c r="F10" s="21">
        <f t="shared" si="0"/>
        <v>0</v>
      </c>
      <c r="G10" s="21">
        <f t="shared" si="1"/>
        <v>0</v>
      </c>
    </row>
    <row r="11" spans="1:7" ht="15.75" thickBot="1" x14ac:dyDescent="0.3">
      <c r="A11" s="8">
        <v>45940</v>
      </c>
      <c r="B11" s="21"/>
      <c r="C11" s="22"/>
      <c r="D11" s="21"/>
      <c r="E11" s="23"/>
      <c r="F11" s="21">
        <f t="shared" si="0"/>
        <v>0</v>
      </c>
      <c r="G11" s="21">
        <f t="shared" si="1"/>
        <v>0</v>
      </c>
    </row>
    <row r="12" spans="1:7" ht="15.75" thickBot="1" x14ac:dyDescent="0.3">
      <c r="A12" s="8">
        <v>45941</v>
      </c>
      <c r="B12" s="18"/>
      <c r="C12" s="19"/>
      <c r="D12" s="18"/>
      <c r="E12" s="20"/>
      <c r="F12" s="21">
        <f t="shared" si="0"/>
        <v>0</v>
      </c>
      <c r="G12" s="21">
        <f t="shared" si="1"/>
        <v>0</v>
      </c>
    </row>
    <row r="13" spans="1:7" ht="15.75" thickBot="1" x14ac:dyDescent="0.3">
      <c r="A13" s="8">
        <v>45942</v>
      </c>
      <c r="B13" s="21"/>
      <c r="C13" s="22"/>
      <c r="D13" s="21"/>
      <c r="E13" s="23"/>
      <c r="F13" s="21">
        <f t="shared" si="0"/>
        <v>0</v>
      </c>
      <c r="G13" s="21">
        <f t="shared" si="1"/>
        <v>0</v>
      </c>
    </row>
    <row r="14" spans="1:7" ht="15.75" thickBot="1" x14ac:dyDescent="0.3">
      <c r="A14" s="8">
        <v>45943</v>
      </c>
      <c r="B14" s="18"/>
      <c r="C14" s="19"/>
      <c r="D14" s="18"/>
      <c r="E14" s="20"/>
      <c r="F14" s="21">
        <f t="shared" si="0"/>
        <v>0</v>
      </c>
      <c r="G14" s="21">
        <f t="shared" si="1"/>
        <v>0</v>
      </c>
    </row>
    <row r="15" spans="1:7" ht="15.75" thickBot="1" x14ac:dyDescent="0.3">
      <c r="A15" s="8">
        <v>45944</v>
      </c>
      <c r="B15" s="21"/>
      <c r="C15" s="22"/>
      <c r="D15" s="21"/>
      <c r="E15" s="23"/>
      <c r="F15" s="21">
        <f t="shared" si="0"/>
        <v>0</v>
      </c>
      <c r="G15" s="21">
        <f t="shared" si="1"/>
        <v>0</v>
      </c>
    </row>
    <row r="16" spans="1:7" ht="15.75" thickBot="1" x14ac:dyDescent="0.3">
      <c r="A16" s="8">
        <v>45945</v>
      </c>
      <c r="B16" s="18"/>
      <c r="C16" s="19"/>
      <c r="D16" s="18"/>
      <c r="E16" s="20"/>
      <c r="F16" s="21">
        <f t="shared" si="0"/>
        <v>0</v>
      </c>
      <c r="G16" s="21">
        <f t="shared" si="1"/>
        <v>0</v>
      </c>
    </row>
    <row r="17" spans="1:7" ht="15.75" thickBot="1" x14ac:dyDescent="0.3">
      <c r="A17" s="8">
        <v>45946</v>
      </c>
      <c r="B17" s="21"/>
      <c r="C17" s="22"/>
      <c r="D17" s="21"/>
      <c r="E17" s="23"/>
      <c r="F17" s="21">
        <f t="shared" si="0"/>
        <v>0</v>
      </c>
      <c r="G17" s="21">
        <f t="shared" si="1"/>
        <v>0</v>
      </c>
    </row>
    <row r="18" spans="1:7" ht="15.75" thickBot="1" x14ac:dyDescent="0.3">
      <c r="A18" s="8">
        <v>45947</v>
      </c>
      <c r="B18" s="18"/>
      <c r="C18" s="19"/>
      <c r="D18" s="21"/>
      <c r="E18" s="20"/>
      <c r="F18" s="21">
        <f t="shared" si="0"/>
        <v>0</v>
      </c>
      <c r="G18" s="21">
        <f t="shared" si="1"/>
        <v>0</v>
      </c>
    </row>
    <row r="19" spans="1:7" ht="15.75" thickBot="1" x14ac:dyDescent="0.3">
      <c r="A19" s="8">
        <v>45948</v>
      </c>
      <c r="B19" s="21"/>
      <c r="C19" s="22"/>
      <c r="D19" s="21"/>
      <c r="E19" s="23"/>
      <c r="F19" s="21">
        <f t="shared" si="0"/>
        <v>0</v>
      </c>
      <c r="G19" s="21">
        <f t="shared" si="1"/>
        <v>0</v>
      </c>
    </row>
    <row r="20" spans="1:7" ht="15.75" thickBot="1" x14ac:dyDescent="0.3">
      <c r="A20" s="8">
        <v>45949</v>
      </c>
      <c r="B20" s="21"/>
      <c r="C20" s="22"/>
      <c r="D20" s="21"/>
      <c r="E20" s="23"/>
      <c r="F20" s="21">
        <f t="shared" si="0"/>
        <v>0</v>
      </c>
      <c r="G20" s="21">
        <f t="shared" si="1"/>
        <v>0</v>
      </c>
    </row>
    <row r="21" spans="1:7" ht="15.75" thickBot="1" x14ac:dyDescent="0.3">
      <c r="A21" s="8">
        <v>45950</v>
      </c>
      <c r="B21" s="24"/>
      <c r="C21" s="25"/>
      <c r="D21" s="24"/>
      <c r="E21" s="26"/>
      <c r="F21" s="21">
        <f t="shared" si="0"/>
        <v>0</v>
      </c>
      <c r="G21" s="21">
        <f t="shared" si="1"/>
        <v>0</v>
      </c>
    </row>
    <row r="22" spans="1:7" ht="15.75" thickBot="1" x14ac:dyDescent="0.3">
      <c r="A22" s="8">
        <v>45951</v>
      </c>
      <c r="B22" s="21"/>
      <c r="C22" s="21"/>
      <c r="D22" s="21"/>
      <c r="E22" s="21"/>
      <c r="F22" s="21">
        <f t="shared" si="0"/>
        <v>0</v>
      </c>
      <c r="G22" s="21">
        <f t="shared" si="1"/>
        <v>0</v>
      </c>
    </row>
    <row r="23" spans="1:7" ht="15.75" thickBot="1" x14ac:dyDescent="0.3">
      <c r="A23" s="8">
        <v>45952</v>
      </c>
      <c r="B23" s="21"/>
      <c r="C23" s="21"/>
      <c r="D23" s="21"/>
      <c r="E23" s="21"/>
      <c r="F23" s="21">
        <f t="shared" si="0"/>
        <v>0</v>
      </c>
      <c r="G23" s="21">
        <f t="shared" si="1"/>
        <v>0</v>
      </c>
    </row>
    <row r="24" spans="1:7" ht="15.75" thickBot="1" x14ac:dyDescent="0.3">
      <c r="A24" s="8">
        <v>45953</v>
      </c>
      <c r="B24" s="21"/>
      <c r="C24" s="21"/>
      <c r="D24" s="21"/>
      <c r="E24" s="21"/>
      <c r="F24" s="21">
        <f t="shared" si="0"/>
        <v>0</v>
      </c>
      <c r="G24" s="21">
        <f t="shared" si="1"/>
        <v>0</v>
      </c>
    </row>
    <row r="25" spans="1:7" ht="15.75" thickBot="1" x14ac:dyDescent="0.3">
      <c r="A25" s="8">
        <v>45954</v>
      </c>
      <c r="B25" s="21"/>
      <c r="C25" s="21"/>
      <c r="D25" s="21"/>
      <c r="E25" s="21"/>
      <c r="F25" s="21">
        <f t="shared" si="0"/>
        <v>0</v>
      </c>
      <c r="G25" s="21">
        <f t="shared" si="1"/>
        <v>0</v>
      </c>
    </row>
    <row r="26" spans="1:7" ht="15.75" thickBot="1" x14ac:dyDescent="0.3">
      <c r="A26" s="8">
        <v>45955</v>
      </c>
      <c r="B26" s="27"/>
      <c r="C26" s="27"/>
      <c r="D26" s="27"/>
      <c r="E26" s="27"/>
      <c r="F26" s="21">
        <f t="shared" si="0"/>
        <v>0</v>
      </c>
      <c r="G26" s="21">
        <f t="shared" si="1"/>
        <v>0</v>
      </c>
    </row>
    <row r="27" spans="1:7" ht="15.75" thickBot="1" x14ac:dyDescent="0.3">
      <c r="A27" s="8">
        <v>45956</v>
      </c>
      <c r="B27" s="27"/>
      <c r="C27" s="27"/>
      <c r="D27" s="27"/>
      <c r="E27" s="27"/>
      <c r="F27" s="21">
        <f>SUM(B27:E27)</f>
        <v>0</v>
      </c>
      <c r="G27" s="21">
        <f>SUM(B27:E27)-C27</f>
        <v>0</v>
      </c>
    </row>
    <row r="28" spans="1:7" ht="15.75" thickBot="1" x14ac:dyDescent="0.3">
      <c r="A28" s="8">
        <v>45957</v>
      </c>
      <c r="B28" s="27"/>
      <c r="C28" s="27"/>
      <c r="D28" s="27"/>
      <c r="E28" s="27"/>
      <c r="F28" s="21">
        <f t="shared" ref="F28:F32" si="2">SUM(B28:E28)</f>
        <v>0</v>
      </c>
      <c r="G28" s="21">
        <f t="shared" ref="G28:G32" si="3">SUM(B28:E28)-C28</f>
        <v>0</v>
      </c>
    </row>
    <row r="29" spans="1:7" ht="15.75" thickBot="1" x14ac:dyDescent="0.3">
      <c r="A29" s="8">
        <v>45958</v>
      </c>
      <c r="B29" s="27"/>
      <c r="C29" s="27"/>
      <c r="D29" s="27"/>
      <c r="E29" s="27"/>
      <c r="F29" s="21">
        <f t="shared" si="2"/>
        <v>0</v>
      </c>
      <c r="G29" s="21">
        <f t="shared" si="3"/>
        <v>0</v>
      </c>
    </row>
    <row r="30" spans="1:7" ht="15.75" thickBot="1" x14ac:dyDescent="0.3">
      <c r="A30" s="8">
        <v>45959</v>
      </c>
      <c r="B30" s="27"/>
      <c r="C30" s="27"/>
      <c r="D30" s="27"/>
      <c r="E30" s="27"/>
      <c r="F30" s="21">
        <f t="shared" si="2"/>
        <v>0</v>
      </c>
      <c r="G30" s="21">
        <f t="shared" si="3"/>
        <v>0</v>
      </c>
    </row>
    <row r="31" spans="1:7" ht="15.75" thickBot="1" x14ac:dyDescent="0.3">
      <c r="A31" s="8">
        <v>45960</v>
      </c>
      <c r="B31" s="27"/>
      <c r="C31" s="27"/>
      <c r="D31" s="27"/>
      <c r="E31" s="27"/>
      <c r="F31" s="21">
        <f t="shared" si="2"/>
        <v>0</v>
      </c>
      <c r="G31" s="21">
        <f t="shared" si="3"/>
        <v>0</v>
      </c>
    </row>
    <row r="32" spans="1:7" ht="15.75" thickBot="1" x14ac:dyDescent="0.3">
      <c r="A32" s="8">
        <v>45961</v>
      </c>
      <c r="B32" s="27"/>
      <c r="C32" s="27"/>
      <c r="D32" s="27"/>
      <c r="E32" s="27"/>
      <c r="F32" s="21">
        <f t="shared" si="2"/>
        <v>0</v>
      </c>
      <c r="G32" s="21">
        <f t="shared" si="3"/>
        <v>0</v>
      </c>
    </row>
    <row r="33" spans="6:7" ht="15.75" thickBot="1" x14ac:dyDescent="0.3"/>
    <row r="34" spans="6:7" ht="15.75" thickBot="1" x14ac:dyDescent="0.3">
      <c r="F34" s="28" t="s">
        <v>49</v>
      </c>
      <c r="G34" s="29">
        <f>SUM(G2:G27)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93"/>
  <sheetViews>
    <sheetView tabSelected="1" topLeftCell="A49" workbookViewId="0">
      <selection activeCell="E62" sqref="E62"/>
    </sheetView>
  </sheetViews>
  <sheetFormatPr defaultRowHeight="15" x14ac:dyDescent="0.25"/>
  <cols>
    <col min="1" max="1" width="24.42578125" customWidth="1"/>
  </cols>
  <sheetData>
    <row r="1" spans="1:32" ht="16.5" thickBot="1" x14ac:dyDescent="0.35">
      <c r="A1" s="30" t="s">
        <v>0</v>
      </c>
      <c r="B1" s="31">
        <v>45931</v>
      </c>
      <c r="C1" s="31">
        <v>45932</v>
      </c>
      <c r="D1" s="31">
        <v>45933</v>
      </c>
      <c r="E1" s="31">
        <v>45934</v>
      </c>
      <c r="F1" s="31">
        <v>45935</v>
      </c>
      <c r="G1" s="31">
        <v>45936</v>
      </c>
      <c r="H1" s="31">
        <v>45937</v>
      </c>
      <c r="I1" s="31">
        <v>45938</v>
      </c>
      <c r="J1" s="31">
        <v>45939</v>
      </c>
      <c r="K1" s="31">
        <v>45940</v>
      </c>
      <c r="L1" s="31">
        <v>45941</v>
      </c>
      <c r="M1" s="31">
        <v>45942</v>
      </c>
      <c r="N1" s="31">
        <v>45943</v>
      </c>
      <c r="O1" s="31">
        <v>45944</v>
      </c>
      <c r="P1" s="31">
        <v>45945</v>
      </c>
      <c r="Q1" s="31">
        <v>45946</v>
      </c>
      <c r="R1" s="31">
        <v>45947</v>
      </c>
      <c r="S1" s="31">
        <v>45948</v>
      </c>
      <c r="T1" s="31">
        <v>45949</v>
      </c>
      <c r="U1" s="31">
        <v>45950</v>
      </c>
      <c r="V1" s="31">
        <v>45951</v>
      </c>
      <c r="W1" s="31">
        <v>45952</v>
      </c>
      <c r="X1" s="31">
        <v>45953</v>
      </c>
      <c r="Y1" s="31">
        <v>45954</v>
      </c>
      <c r="Z1" s="31">
        <v>45955</v>
      </c>
      <c r="AA1" s="31">
        <v>45956</v>
      </c>
      <c r="AB1" s="31">
        <v>45957</v>
      </c>
      <c r="AC1" s="31">
        <v>45958</v>
      </c>
      <c r="AD1" s="31">
        <v>45959</v>
      </c>
      <c r="AE1" s="31">
        <v>45960</v>
      </c>
      <c r="AF1" s="31">
        <v>45961</v>
      </c>
    </row>
    <row r="2" spans="1:32" ht="15.75" thickBot="1" x14ac:dyDescent="0.3">
      <c r="A2" s="27" t="s">
        <v>50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21"/>
      <c r="R2" s="21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 spans="1:32" ht="15.75" thickBot="1" x14ac:dyDescent="0.3">
      <c r="A3" s="27" t="s">
        <v>51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27"/>
      <c r="R3" s="27"/>
      <c r="S3" s="32"/>
      <c r="T3" s="32"/>
      <c r="U3" s="9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</row>
    <row r="5" spans="1:32" ht="15.75" thickBot="1" x14ac:dyDescent="0.3"/>
    <row r="6" spans="1:32" ht="15.75" thickBot="1" x14ac:dyDescent="0.3">
      <c r="A6" s="27" t="s">
        <v>49</v>
      </c>
      <c r="B6" s="21">
        <f t="shared" ref="B6:AA6" si="0">B2+B3</f>
        <v>0</v>
      </c>
      <c r="C6" s="21">
        <f t="shared" si="0"/>
        <v>0</v>
      </c>
      <c r="D6" s="21">
        <f t="shared" si="0"/>
        <v>0</v>
      </c>
      <c r="E6" s="21">
        <f t="shared" si="0"/>
        <v>0</v>
      </c>
      <c r="F6" s="21">
        <f t="shared" si="0"/>
        <v>0</v>
      </c>
      <c r="G6" s="21">
        <f t="shared" si="0"/>
        <v>0</v>
      </c>
      <c r="H6" s="21">
        <f t="shared" si="0"/>
        <v>0</v>
      </c>
      <c r="I6" s="21">
        <f t="shared" si="0"/>
        <v>0</v>
      </c>
      <c r="J6" s="21">
        <f t="shared" si="0"/>
        <v>0</v>
      </c>
      <c r="K6" s="21">
        <f t="shared" si="0"/>
        <v>0</v>
      </c>
      <c r="L6" s="21">
        <f t="shared" si="0"/>
        <v>0</v>
      </c>
      <c r="M6" s="21">
        <f t="shared" si="0"/>
        <v>0</v>
      </c>
      <c r="N6" s="21">
        <f t="shared" si="0"/>
        <v>0</v>
      </c>
      <c r="O6" s="21">
        <f t="shared" si="0"/>
        <v>0</v>
      </c>
      <c r="P6" s="21">
        <f t="shared" si="0"/>
        <v>0</v>
      </c>
      <c r="Q6" s="21">
        <f t="shared" si="0"/>
        <v>0</v>
      </c>
      <c r="R6" s="21">
        <f t="shared" si="0"/>
        <v>0</v>
      </c>
      <c r="S6" s="21">
        <f t="shared" si="0"/>
        <v>0</v>
      </c>
      <c r="T6" s="21">
        <f t="shared" si="0"/>
        <v>0</v>
      </c>
      <c r="U6" s="21">
        <f t="shared" si="0"/>
        <v>0</v>
      </c>
      <c r="V6" s="21">
        <f t="shared" si="0"/>
        <v>0</v>
      </c>
      <c r="W6" s="21">
        <f t="shared" si="0"/>
        <v>0</v>
      </c>
      <c r="X6" s="21">
        <f t="shared" si="0"/>
        <v>0</v>
      </c>
      <c r="Y6" s="21">
        <f t="shared" si="0"/>
        <v>0</v>
      </c>
      <c r="Z6" s="21">
        <f t="shared" si="0"/>
        <v>0</v>
      </c>
      <c r="AA6" s="21">
        <f t="shared" si="0"/>
        <v>0</v>
      </c>
      <c r="AB6" s="21">
        <f t="shared" ref="AB6:AF6" si="1">AB2+AB3</f>
        <v>0</v>
      </c>
      <c r="AC6" s="21">
        <f t="shared" si="1"/>
        <v>0</v>
      </c>
      <c r="AD6" s="21">
        <f t="shared" si="1"/>
        <v>0</v>
      </c>
      <c r="AE6" s="21">
        <f t="shared" si="1"/>
        <v>0</v>
      </c>
      <c r="AF6" s="21">
        <f t="shared" si="1"/>
        <v>0</v>
      </c>
    </row>
    <row r="8" spans="1:32" ht="27" thickBot="1" x14ac:dyDescent="0.45">
      <c r="A8" s="33" t="s">
        <v>52</v>
      </c>
      <c r="I8" s="34"/>
      <c r="M8" s="34"/>
    </row>
    <row r="9" spans="1:32" ht="15.75" thickBot="1" x14ac:dyDescent="0.3">
      <c r="A9" s="27" t="s">
        <v>53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2"/>
      <c r="M9" s="36"/>
      <c r="N9" s="35"/>
      <c r="O9" s="35"/>
      <c r="P9" s="35"/>
      <c r="Q9" s="35"/>
      <c r="R9" s="35"/>
      <c r="S9" s="35"/>
      <c r="T9" s="37"/>
      <c r="U9" s="32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</row>
    <row r="10" spans="1:32" ht="15.75" thickBot="1" x14ac:dyDescent="0.3">
      <c r="A10" s="27" t="s">
        <v>54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 spans="1:32" ht="15.75" thickBot="1" x14ac:dyDescent="0.3">
      <c r="A11" s="27" t="s">
        <v>55</v>
      </c>
      <c r="B11" s="9"/>
      <c r="C11" s="38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 spans="1:32" ht="15.75" thickBot="1" x14ac:dyDescent="0.3">
      <c r="A12" s="27" t="s">
        <v>56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 spans="1:32" ht="15.75" thickBot="1" x14ac:dyDescent="0.3">
      <c r="A13" s="27" t="s">
        <v>57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 spans="1:32" ht="15.75" thickBot="1" x14ac:dyDescent="0.3">
      <c r="A14" s="27" t="s">
        <v>58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 spans="1:32" ht="15.75" thickBot="1" x14ac:dyDescent="0.3">
      <c r="A15" s="27" t="s">
        <v>59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 spans="1:32" ht="15.75" thickBot="1" x14ac:dyDescent="0.3">
      <c r="A16" s="27" t="s">
        <v>60</v>
      </c>
      <c r="B16" s="9"/>
      <c r="C16" s="10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 spans="1:32" ht="15.75" thickBot="1" x14ac:dyDescent="0.3">
      <c r="A17" s="27" t="s">
        <v>61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 spans="1:32" ht="15.75" thickBot="1" x14ac:dyDescent="0.3">
      <c r="A18" s="27" t="s">
        <v>61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spans="1:32" ht="15.75" thickBot="1" x14ac:dyDescent="0.3">
      <c r="A19" s="27" t="s">
        <v>62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spans="1:32" ht="15.75" thickBot="1" x14ac:dyDescent="0.3">
      <c r="A20" s="27" t="s">
        <v>63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spans="1:32" ht="15.75" thickBot="1" x14ac:dyDescent="0.3">
      <c r="A21" s="27" t="s">
        <v>64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spans="1:32" ht="15.75" thickBot="1" x14ac:dyDescent="0.3">
      <c r="A22" s="27" t="s">
        <v>65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 spans="1:32" ht="15.75" thickBot="1" x14ac:dyDescent="0.3">
      <c r="A23" s="27" t="s">
        <v>66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 spans="1:32" ht="15.75" thickBot="1" x14ac:dyDescent="0.3">
      <c r="A24" s="27" t="s">
        <v>67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 spans="1:32" ht="15.75" thickBot="1" x14ac:dyDescent="0.3">
      <c r="A25" s="27" t="s">
        <v>68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 spans="1:32" ht="15.75" thickBot="1" x14ac:dyDescent="0.3">
      <c r="A26" s="27" t="s">
        <v>69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8" spans="1:32" ht="15.75" thickBot="1" x14ac:dyDescent="0.3">
      <c r="A28" s="34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</row>
    <row r="29" spans="1:32" ht="15.75" thickBot="1" x14ac:dyDescent="0.3">
      <c r="A29" s="27" t="s">
        <v>3</v>
      </c>
      <c r="B29" s="21">
        <f t="shared" ref="B29:L29" si="2">SUM(B10:B28)</f>
        <v>0</v>
      </c>
      <c r="C29" s="21">
        <f t="shared" si="2"/>
        <v>0</v>
      </c>
      <c r="D29" s="21">
        <f t="shared" si="2"/>
        <v>0</v>
      </c>
      <c r="E29" s="21">
        <f t="shared" si="2"/>
        <v>0</v>
      </c>
      <c r="F29" s="21">
        <f t="shared" si="2"/>
        <v>0</v>
      </c>
      <c r="G29" s="21">
        <f t="shared" si="2"/>
        <v>0</v>
      </c>
      <c r="H29" s="21">
        <f t="shared" si="2"/>
        <v>0</v>
      </c>
      <c r="I29" s="21">
        <f t="shared" si="2"/>
        <v>0</v>
      </c>
      <c r="J29" s="21">
        <f t="shared" si="2"/>
        <v>0</v>
      </c>
      <c r="K29" s="21">
        <f t="shared" si="2"/>
        <v>0</v>
      </c>
      <c r="L29" s="21">
        <f t="shared" si="2"/>
        <v>0</v>
      </c>
      <c r="M29" s="21">
        <f>SUM(M10:M28)</f>
        <v>0</v>
      </c>
      <c r="N29" s="21">
        <f t="shared" ref="N29:AA29" si="3">SUM(N10:N28)</f>
        <v>0</v>
      </c>
      <c r="O29" s="21">
        <f>SUM(O10:O28)</f>
        <v>0</v>
      </c>
      <c r="P29" s="21">
        <f t="shared" si="3"/>
        <v>0</v>
      </c>
      <c r="Q29" s="21">
        <f t="shared" si="3"/>
        <v>0</v>
      </c>
      <c r="R29" s="21">
        <f t="shared" si="3"/>
        <v>0</v>
      </c>
      <c r="S29" s="21">
        <f t="shared" si="3"/>
        <v>0</v>
      </c>
      <c r="T29" s="21">
        <f>SUM(T10:T28)</f>
        <v>0</v>
      </c>
      <c r="U29" s="21">
        <f t="shared" si="3"/>
        <v>0</v>
      </c>
      <c r="V29" s="21">
        <f t="shared" si="3"/>
        <v>0</v>
      </c>
      <c r="W29" s="21">
        <f t="shared" si="3"/>
        <v>0</v>
      </c>
      <c r="X29" s="21">
        <f t="shared" si="3"/>
        <v>0</v>
      </c>
      <c r="Y29" s="21">
        <f t="shared" si="3"/>
        <v>0</v>
      </c>
      <c r="Z29" s="21">
        <f t="shared" si="3"/>
        <v>0</v>
      </c>
      <c r="AA29" s="21">
        <f t="shared" si="3"/>
        <v>0</v>
      </c>
      <c r="AB29" s="21">
        <f t="shared" ref="AB29:AF29" si="4">SUM(AB10:AB28)</f>
        <v>0</v>
      </c>
      <c r="AC29" s="21">
        <f t="shared" si="4"/>
        <v>0</v>
      </c>
      <c r="AD29" s="21">
        <f t="shared" si="4"/>
        <v>0</v>
      </c>
      <c r="AE29" s="21">
        <f t="shared" si="4"/>
        <v>0</v>
      </c>
      <c r="AF29" s="21">
        <f t="shared" si="4"/>
        <v>0</v>
      </c>
    </row>
    <row r="30" spans="1:32" ht="15.75" thickBot="1" x14ac:dyDescent="0.3"/>
    <row r="31" spans="1:32" ht="15.75" thickBot="1" x14ac:dyDescent="0.3">
      <c r="A31" s="27" t="s">
        <v>70</v>
      </c>
      <c r="B31" s="27">
        <f t="shared" ref="B31:AA31" si="5">B6-B29</f>
        <v>0</v>
      </c>
      <c r="C31" s="27">
        <f t="shared" si="5"/>
        <v>0</v>
      </c>
      <c r="D31" s="27">
        <f t="shared" si="5"/>
        <v>0</v>
      </c>
      <c r="E31" s="27">
        <f t="shared" si="5"/>
        <v>0</v>
      </c>
      <c r="F31" s="27">
        <f t="shared" si="5"/>
        <v>0</v>
      </c>
      <c r="G31" s="27">
        <f t="shared" si="5"/>
        <v>0</v>
      </c>
      <c r="H31" s="27">
        <f t="shared" si="5"/>
        <v>0</v>
      </c>
      <c r="I31" s="27">
        <f t="shared" si="5"/>
        <v>0</v>
      </c>
      <c r="J31" s="27">
        <f t="shared" si="5"/>
        <v>0</v>
      </c>
      <c r="K31" s="27">
        <f t="shared" si="5"/>
        <v>0</v>
      </c>
      <c r="L31" s="27">
        <f t="shared" si="5"/>
        <v>0</v>
      </c>
      <c r="M31" s="27">
        <f t="shared" si="5"/>
        <v>0</v>
      </c>
      <c r="N31" s="27">
        <f t="shared" si="5"/>
        <v>0</v>
      </c>
      <c r="O31" s="27">
        <f t="shared" si="5"/>
        <v>0</v>
      </c>
      <c r="P31" s="27">
        <f t="shared" si="5"/>
        <v>0</v>
      </c>
      <c r="Q31" s="27">
        <f t="shared" si="5"/>
        <v>0</v>
      </c>
      <c r="R31" s="27">
        <f t="shared" si="5"/>
        <v>0</v>
      </c>
      <c r="S31" s="27">
        <f t="shared" si="5"/>
        <v>0</v>
      </c>
      <c r="T31" s="27">
        <f t="shared" si="5"/>
        <v>0</v>
      </c>
      <c r="U31" s="27">
        <f t="shared" si="5"/>
        <v>0</v>
      </c>
      <c r="V31" s="27">
        <f t="shared" si="5"/>
        <v>0</v>
      </c>
      <c r="W31" s="27">
        <f t="shared" si="5"/>
        <v>0</v>
      </c>
      <c r="X31" s="27">
        <f t="shared" si="5"/>
        <v>0</v>
      </c>
      <c r="Y31" s="27">
        <f t="shared" si="5"/>
        <v>0</v>
      </c>
      <c r="Z31" s="27">
        <f t="shared" si="5"/>
        <v>0</v>
      </c>
      <c r="AA31" s="27">
        <f t="shared" si="5"/>
        <v>0</v>
      </c>
      <c r="AB31" s="27">
        <f t="shared" ref="AB31:AF31" si="6">AB6-AB29</f>
        <v>0</v>
      </c>
      <c r="AC31" s="27">
        <f t="shared" si="6"/>
        <v>0</v>
      </c>
      <c r="AD31" s="27">
        <f t="shared" si="6"/>
        <v>0</v>
      </c>
      <c r="AE31" s="27">
        <f t="shared" si="6"/>
        <v>0</v>
      </c>
      <c r="AF31" s="27">
        <f t="shared" si="6"/>
        <v>0</v>
      </c>
    </row>
    <row r="33" spans="1:32" ht="27" thickBot="1" x14ac:dyDescent="0.45">
      <c r="A33" s="40" t="s">
        <v>71</v>
      </c>
      <c r="B33" s="40"/>
      <c r="C33" s="40"/>
    </row>
    <row r="34" spans="1:32" ht="15.75" thickBot="1" x14ac:dyDescent="0.3">
      <c r="A34" s="27" t="s">
        <v>72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27"/>
      <c r="R34" s="27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</row>
    <row r="35" spans="1:32" ht="15.75" thickBot="1" x14ac:dyDescent="0.3">
      <c r="Q35" s="41"/>
    </row>
    <row r="36" spans="1:32" ht="15.75" thickBot="1" x14ac:dyDescent="0.3">
      <c r="A36" s="27" t="s">
        <v>49</v>
      </c>
      <c r="B36" s="27">
        <f t="shared" ref="B36:AA36" si="7">SUM(B34:B35)</f>
        <v>0</v>
      </c>
      <c r="C36" s="27">
        <f t="shared" si="7"/>
        <v>0</v>
      </c>
      <c r="D36" s="27">
        <f t="shared" si="7"/>
        <v>0</v>
      </c>
      <c r="E36" s="27">
        <f t="shared" si="7"/>
        <v>0</v>
      </c>
      <c r="F36" s="27">
        <f t="shared" si="7"/>
        <v>0</v>
      </c>
      <c r="G36" s="27">
        <f t="shared" si="7"/>
        <v>0</v>
      </c>
      <c r="H36" s="27">
        <f t="shared" si="7"/>
        <v>0</v>
      </c>
      <c r="I36" s="27">
        <f t="shared" si="7"/>
        <v>0</v>
      </c>
      <c r="J36" s="27">
        <f t="shared" si="7"/>
        <v>0</v>
      </c>
      <c r="K36" s="27">
        <f t="shared" si="7"/>
        <v>0</v>
      </c>
      <c r="L36" s="27">
        <f t="shared" si="7"/>
        <v>0</v>
      </c>
      <c r="M36" s="27">
        <f t="shared" si="7"/>
        <v>0</v>
      </c>
      <c r="N36" s="27">
        <f t="shared" si="7"/>
        <v>0</v>
      </c>
      <c r="O36" s="27">
        <f t="shared" si="7"/>
        <v>0</v>
      </c>
      <c r="P36" s="27">
        <f t="shared" si="7"/>
        <v>0</v>
      </c>
      <c r="Q36" s="21">
        <f t="shared" si="7"/>
        <v>0</v>
      </c>
      <c r="R36" s="27">
        <f t="shared" si="7"/>
        <v>0</v>
      </c>
      <c r="S36" s="27">
        <f t="shared" si="7"/>
        <v>0</v>
      </c>
      <c r="T36" s="27">
        <f t="shared" si="7"/>
        <v>0</v>
      </c>
      <c r="U36" s="27">
        <f t="shared" si="7"/>
        <v>0</v>
      </c>
      <c r="V36" s="27">
        <f t="shared" si="7"/>
        <v>0</v>
      </c>
      <c r="W36" s="27">
        <f t="shared" si="7"/>
        <v>0</v>
      </c>
      <c r="X36" s="27">
        <f t="shared" si="7"/>
        <v>0</v>
      </c>
      <c r="Y36" s="27">
        <f t="shared" si="7"/>
        <v>0</v>
      </c>
      <c r="Z36" s="27">
        <f t="shared" si="7"/>
        <v>0</v>
      </c>
      <c r="AA36" s="27">
        <f t="shared" si="7"/>
        <v>0</v>
      </c>
      <c r="AB36" s="27">
        <f t="shared" ref="AB36:AF36" si="8">SUM(AB34:AB35)</f>
        <v>0</v>
      </c>
      <c r="AC36" s="27">
        <f t="shared" si="8"/>
        <v>0</v>
      </c>
      <c r="AD36" s="27">
        <f t="shared" si="8"/>
        <v>0</v>
      </c>
      <c r="AE36" s="27">
        <f t="shared" si="8"/>
        <v>0</v>
      </c>
      <c r="AF36" s="27">
        <f t="shared" si="8"/>
        <v>0</v>
      </c>
    </row>
    <row r="38" spans="1:32" ht="27" thickBot="1" x14ac:dyDescent="0.45">
      <c r="A38" s="40" t="s">
        <v>73</v>
      </c>
      <c r="B38" s="40"/>
      <c r="C38" s="40"/>
    </row>
    <row r="39" spans="1:32" ht="15.75" thickBot="1" x14ac:dyDescent="0.3">
      <c r="A39" s="27" t="s">
        <v>74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21"/>
      <c r="R39" s="21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 spans="1:32" ht="15.75" thickBot="1" x14ac:dyDescent="0.3">
      <c r="A40" s="27" t="s">
        <v>75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21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 spans="1:32" ht="15.75" thickBot="1" x14ac:dyDescent="0.3">
      <c r="A41" s="27" t="s">
        <v>76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21"/>
      <c r="R41" s="21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 spans="1:32" ht="15.75" thickBot="1" x14ac:dyDescent="0.3">
      <c r="A42" s="27" t="s">
        <v>77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21"/>
      <c r="R42" s="21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 spans="1:32" ht="15.75" thickBot="1" x14ac:dyDescent="0.3">
      <c r="A43" s="27" t="s">
        <v>78</v>
      </c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21"/>
      <c r="R43" s="21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 spans="1:32" ht="15.75" thickBot="1" x14ac:dyDescent="0.3">
      <c r="A44" s="27" t="s">
        <v>79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21"/>
      <c r="R44" s="21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6" spans="1:32" ht="15.75" thickBot="1" x14ac:dyDescent="0.3"/>
    <row r="47" spans="1:32" ht="15.75" thickBot="1" x14ac:dyDescent="0.3">
      <c r="A47" s="27" t="s">
        <v>49</v>
      </c>
      <c r="B47" s="27">
        <f t="shared" ref="B47:S47" si="9">SUM(B38:B45)</f>
        <v>0</v>
      </c>
      <c r="C47" s="27">
        <f t="shared" si="9"/>
        <v>0</v>
      </c>
      <c r="D47" s="27">
        <f t="shared" si="9"/>
        <v>0</v>
      </c>
      <c r="E47" s="27">
        <f t="shared" si="9"/>
        <v>0</v>
      </c>
      <c r="F47" s="27">
        <f t="shared" si="9"/>
        <v>0</v>
      </c>
      <c r="G47" s="27">
        <f t="shared" si="9"/>
        <v>0</v>
      </c>
      <c r="H47" s="27">
        <f t="shared" si="9"/>
        <v>0</v>
      </c>
      <c r="I47" s="27">
        <f t="shared" si="9"/>
        <v>0</v>
      </c>
      <c r="J47" s="27">
        <f t="shared" si="9"/>
        <v>0</v>
      </c>
      <c r="K47" s="27">
        <f t="shared" si="9"/>
        <v>0</v>
      </c>
      <c r="L47" s="27">
        <f t="shared" si="9"/>
        <v>0</v>
      </c>
      <c r="M47" s="27">
        <f t="shared" si="9"/>
        <v>0</v>
      </c>
      <c r="N47" s="27">
        <f t="shared" si="9"/>
        <v>0</v>
      </c>
      <c r="O47" s="27">
        <f t="shared" si="9"/>
        <v>0</v>
      </c>
      <c r="P47" s="27">
        <f t="shared" si="9"/>
        <v>0</v>
      </c>
      <c r="Q47" s="27">
        <f t="shared" si="9"/>
        <v>0</v>
      </c>
      <c r="R47" s="27">
        <f t="shared" si="9"/>
        <v>0</v>
      </c>
      <c r="S47" s="27">
        <f t="shared" si="9"/>
        <v>0</v>
      </c>
      <c r="T47" s="21">
        <f>SUM(T38:T44)</f>
        <v>0</v>
      </c>
      <c r="U47" s="27">
        <f t="shared" ref="U47:AA47" si="10">SUM(U38:U45)</f>
        <v>0</v>
      </c>
      <c r="V47" s="27">
        <f t="shared" si="10"/>
        <v>0</v>
      </c>
      <c r="W47" s="27">
        <f t="shared" si="10"/>
        <v>0</v>
      </c>
      <c r="X47" s="27">
        <f t="shared" si="10"/>
        <v>0</v>
      </c>
      <c r="Y47" s="27">
        <f t="shared" si="10"/>
        <v>0</v>
      </c>
      <c r="Z47" s="27">
        <f t="shared" si="10"/>
        <v>0</v>
      </c>
      <c r="AA47" s="27">
        <f t="shared" si="10"/>
        <v>0</v>
      </c>
      <c r="AB47" s="27">
        <f t="shared" ref="AB47:AF47" si="11">SUM(AB38:AB45)</f>
        <v>0</v>
      </c>
      <c r="AC47" s="27">
        <f t="shared" si="11"/>
        <v>0</v>
      </c>
      <c r="AD47" s="27">
        <f t="shared" si="11"/>
        <v>0</v>
      </c>
      <c r="AE47" s="27">
        <f t="shared" si="11"/>
        <v>0</v>
      </c>
      <c r="AF47" s="27">
        <f t="shared" si="11"/>
        <v>0</v>
      </c>
    </row>
    <row r="48" spans="1:32" ht="15.75" thickBot="1" x14ac:dyDescent="0.3"/>
    <row r="49" spans="1:32" ht="15.75" thickBot="1" x14ac:dyDescent="0.3">
      <c r="A49" s="27" t="s">
        <v>70</v>
      </c>
      <c r="B49" s="27">
        <f t="shared" ref="B49:AA49" si="12">B29-B36-B47</f>
        <v>0</v>
      </c>
      <c r="C49" s="27">
        <f t="shared" si="12"/>
        <v>0</v>
      </c>
      <c r="D49" s="27">
        <f t="shared" si="12"/>
        <v>0</v>
      </c>
      <c r="E49" s="27">
        <f t="shared" si="12"/>
        <v>0</v>
      </c>
      <c r="F49" s="27">
        <f t="shared" si="12"/>
        <v>0</v>
      </c>
      <c r="G49" s="27">
        <f t="shared" si="12"/>
        <v>0</v>
      </c>
      <c r="H49" s="27">
        <f t="shared" si="12"/>
        <v>0</v>
      </c>
      <c r="I49" s="27">
        <f t="shared" si="12"/>
        <v>0</v>
      </c>
      <c r="J49" s="27">
        <f t="shared" si="12"/>
        <v>0</v>
      </c>
      <c r="K49" s="21">
        <f t="shared" si="12"/>
        <v>0</v>
      </c>
      <c r="L49" s="21">
        <f t="shared" si="12"/>
        <v>0</v>
      </c>
      <c r="M49" s="21">
        <f t="shared" si="12"/>
        <v>0</v>
      </c>
      <c r="N49" s="21">
        <f t="shared" si="12"/>
        <v>0</v>
      </c>
      <c r="O49" s="21">
        <f t="shared" si="12"/>
        <v>0</v>
      </c>
      <c r="P49" s="21">
        <f t="shared" si="12"/>
        <v>0</v>
      </c>
      <c r="Q49" s="21">
        <f t="shared" si="12"/>
        <v>0</v>
      </c>
      <c r="R49" s="21">
        <f t="shared" si="12"/>
        <v>0</v>
      </c>
      <c r="S49" s="21">
        <f t="shared" si="12"/>
        <v>0</v>
      </c>
      <c r="T49" s="21">
        <f t="shared" si="12"/>
        <v>0</v>
      </c>
      <c r="U49" s="21">
        <f t="shared" si="12"/>
        <v>0</v>
      </c>
      <c r="V49" s="21">
        <f t="shared" si="12"/>
        <v>0</v>
      </c>
      <c r="W49" s="21">
        <f t="shared" si="12"/>
        <v>0</v>
      </c>
      <c r="X49" s="21">
        <f t="shared" si="12"/>
        <v>0</v>
      </c>
      <c r="Y49" s="21">
        <f t="shared" si="12"/>
        <v>0</v>
      </c>
      <c r="Z49" s="21">
        <f t="shared" si="12"/>
        <v>0</v>
      </c>
      <c r="AA49" s="21">
        <f t="shared" si="12"/>
        <v>0</v>
      </c>
      <c r="AB49" s="21">
        <f t="shared" ref="AB49:AF49" si="13">AB29-AB36-AB47</f>
        <v>0</v>
      </c>
      <c r="AC49" s="21">
        <f t="shared" si="13"/>
        <v>0</v>
      </c>
      <c r="AD49" s="21">
        <f t="shared" si="13"/>
        <v>0</v>
      </c>
      <c r="AE49" s="21">
        <f t="shared" si="13"/>
        <v>0</v>
      </c>
      <c r="AF49" s="21">
        <f t="shared" si="13"/>
        <v>0</v>
      </c>
    </row>
    <row r="50" spans="1:32" x14ac:dyDescent="0.25">
      <c r="C50" s="42"/>
    </row>
    <row r="52" spans="1:32" ht="27" thickBot="1" x14ac:dyDescent="0.45">
      <c r="A52" s="40" t="s">
        <v>80</v>
      </c>
      <c r="B52" s="40"/>
      <c r="C52" s="40"/>
      <c r="D52" s="43"/>
      <c r="E52" s="43"/>
      <c r="F52" s="39"/>
      <c r="G52" s="43"/>
      <c r="H52" s="43"/>
      <c r="I52" s="43"/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</row>
    <row r="53" spans="1:32" ht="15.75" thickBot="1" x14ac:dyDescent="0.3">
      <c r="A53" s="27" t="s">
        <v>81</v>
      </c>
      <c r="B53" s="9"/>
      <c r="C53" s="9"/>
      <c r="D53" s="9"/>
      <c r="E53" s="9"/>
      <c r="F53" s="10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 spans="1:32" ht="15.75" thickBot="1" x14ac:dyDescent="0.3">
      <c r="A54" s="27" t="s">
        <v>82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 spans="1:32" ht="15.75" thickBot="1" x14ac:dyDescent="0.3">
      <c r="A55" s="27" t="s">
        <v>83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 spans="1:32" ht="15.75" thickBot="1" x14ac:dyDescent="0.3">
      <c r="A56" s="27" t="s">
        <v>84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 spans="1:32" ht="15.75" thickBot="1" x14ac:dyDescent="0.3">
      <c r="A57" s="27" t="s">
        <v>85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 spans="1:32" ht="15.75" thickBot="1" x14ac:dyDescent="0.3">
      <c r="A58" s="27" t="s">
        <v>60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 spans="1:32" ht="15.75" thickBot="1" x14ac:dyDescent="0.3">
      <c r="A59" s="27" t="s">
        <v>86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 spans="1:32" ht="15.75" thickBot="1" x14ac:dyDescent="0.3">
      <c r="A60" s="27" t="s">
        <v>87</v>
      </c>
      <c r="B60" s="9"/>
      <c r="C60" s="9"/>
      <c r="D60" s="9"/>
      <c r="E60" s="9"/>
      <c r="F60" s="9"/>
      <c r="G60" s="9"/>
      <c r="H60" s="9"/>
      <c r="I60" s="44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 spans="1:32" ht="15.75" thickBot="1" x14ac:dyDescent="0.3">
      <c r="A61" s="27" t="s">
        <v>88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 spans="1:32" ht="15.75" thickBot="1" x14ac:dyDescent="0.3">
      <c r="A62" s="27" t="s">
        <v>89</v>
      </c>
      <c r="B62" s="9"/>
      <c r="C62" s="9"/>
      <c r="D62" s="9"/>
      <c r="E62" s="9"/>
      <c r="F62" s="9"/>
      <c r="G62" s="9"/>
      <c r="H62" s="9"/>
      <c r="I62" s="45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 spans="1:32" ht="15.75" thickBot="1" x14ac:dyDescent="0.3">
      <c r="A63" s="27" t="s">
        <v>90</v>
      </c>
      <c r="B63" s="9"/>
      <c r="C63" s="9"/>
      <c r="D63" s="9"/>
      <c r="E63" s="9"/>
      <c r="F63" s="9"/>
      <c r="G63" s="9"/>
      <c r="H63" s="9"/>
      <c r="I63" s="45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 spans="1:32" ht="15.75" thickBot="1" x14ac:dyDescent="0.3">
      <c r="A64" s="27" t="s">
        <v>91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 spans="1:32" ht="15.75" thickBot="1" x14ac:dyDescent="0.3">
      <c r="A65" s="27" t="s">
        <v>92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 spans="1:32" ht="15.75" thickBot="1" x14ac:dyDescent="0.3">
      <c r="A66" s="27" t="s">
        <v>93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 spans="1:32" ht="15.75" thickBot="1" x14ac:dyDescent="0.3">
      <c r="A67" s="27" t="s">
        <v>94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 spans="1:32" ht="15.75" thickBot="1" x14ac:dyDescent="0.3">
      <c r="A68" s="21" t="s">
        <v>95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 spans="1:32" x14ac:dyDescent="0.25">
      <c r="A69" s="46"/>
      <c r="B69" s="19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6"/>
      <c r="R69" s="46"/>
      <c r="S69" s="46"/>
      <c r="T69" s="46"/>
      <c r="U69" s="46"/>
      <c r="V69" s="46"/>
      <c r="W69" s="46"/>
      <c r="X69" s="46"/>
      <c r="Y69" s="46"/>
    </row>
    <row r="70" spans="1:32" ht="15.75" thickBot="1" x14ac:dyDescent="0.3">
      <c r="A70" s="43"/>
      <c r="B70" s="47"/>
      <c r="C70" s="43"/>
      <c r="D70" s="43"/>
      <c r="E70" s="43"/>
      <c r="F70" s="43"/>
      <c r="G70" s="43"/>
      <c r="H70" s="43"/>
      <c r="I70" s="43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</row>
    <row r="71" spans="1:32" ht="15.75" thickBot="1" x14ac:dyDescent="0.3">
      <c r="A71" s="27" t="s">
        <v>3</v>
      </c>
      <c r="B71" s="21">
        <f t="shared" ref="B71:Y71" si="14">SUM(B53:B70)</f>
        <v>0</v>
      </c>
      <c r="C71" s="21">
        <f t="shared" si="14"/>
        <v>0</v>
      </c>
      <c r="D71" s="21">
        <f t="shared" si="14"/>
        <v>0</v>
      </c>
      <c r="E71" s="21">
        <f t="shared" si="14"/>
        <v>0</v>
      </c>
      <c r="F71" s="21">
        <f>SUM(F55:F70)</f>
        <v>0</v>
      </c>
      <c r="G71" s="21">
        <f t="shared" si="14"/>
        <v>0</v>
      </c>
      <c r="H71" s="21">
        <f t="shared" si="14"/>
        <v>0</v>
      </c>
      <c r="I71" s="21">
        <f t="shared" si="14"/>
        <v>0</v>
      </c>
      <c r="J71" s="21">
        <f t="shared" si="14"/>
        <v>0</v>
      </c>
      <c r="K71" s="21">
        <f t="shared" si="14"/>
        <v>0</v>
      </c>
      <c r="L71" s="21">
        <f t="shared" si="14"/>
        <v>0</v>
      </c>
      <c r="M71" s="21">
        <f t="shared" si="14"/>
        <v>0</v>
      </c>
      <c r="N71" s="21">
        <f t="shared" si="14"/>
        <v>0</v>
      </c>
      <c r="O71" s="21">
        <f t="shared" si="14"/>
        <v>0</v>
      </c>
      <c r="P71" s="21">
        <f t="shared" si="14"/>
        <v>0</v>
      </c>
      <c r="Q71" s="21">
        <f t="shared" si="14"/>
        <v>0</v>
      </c>
      <c r="R71" s="21">
        <f t="shared" si="14"/>
        <v>0</v>
      </c>
      <c r="S71" s="21">
        <f t="shared" si="14"/>
        <v>0</v>
      </c>
      <c r="T71" s="21">
        <f t="shared" si="14"/>
        <v>0</v>
      </c>
      <c r="U71" s="21">
        <f t="shared" si="14"/>
        <v>0</v>
      </c>
      <c r="V71" s="21">
        <f t="shared" si="14"/>
        <v>0</v>
      </c>
      <c r="W71" s="21">
        <f t="shared" si="14"/>
        <v>0</v>
      </c>
      <c r="X71" s="21">
        <f t="shared" si="14"/>
        <v>0</v>
      </c>
      <c r="Y71" s="21">
        <f t="shared" si="14"/>
        <v>0</v>
      </c>
      <c r="Z71" s="21">
        <f t="shared" ref="Z71:AA71" si="15">SUM(Z53:Z70)</f>
        <v>0</v>
      </c>
      <c r="AA71" s="21">
        <f t="shared" si="15"/>
        <v>0</v>
      </c>
      <c r="AB71" s="21">
        <f t="shared" ref="AB71:AF71" si="16">SUM(AB53:AB70)</f>
        <v>0</v>
      </c>
      <c r="AC71" s="21">
        <f t="shared" si="16"/>
        <v>0</v>
      </c>
      <c r="AD71" s="21">
        <f t="shared" si="16"/>
        <v>0</v>
      </c>
      <c r="AE71" s="21">
        <f t="shared" si="16"/>
        <v>0</v>
      </c>
      <c r="AF71" s="21">
        <f t="shared" si="16"/>
        <v>0</v>
      </c>
    </row>
    <row r="72" spans="1:32" ht="15.75" thickBot="1" x14ac:dyDescent="0.3">
      <c r="A72" s="27" t="s">
        <v>96</v>
      </c>
      <c r="B72" s="27"/>
      <c r="C72" s="21">
        <f t="shared" ref="C72:Y72" si="17">B71-C71</f>
        <v>0</v>
      </c>
      <c r="D72" s="21">
        <f t="shared" si="17"/>
        <v>0</v>
      </c>
      <c r="E72" s="21">
        <f t="shared" si="17"/>
        <v>0</v>
      </c>
      <c r="F72" s="21">
        <f t="shared" si="17"/>
        <v>0</v>
      </c>
      <c r="G72" s="21">
        <f t="shared" si="17"/>
        <v>0</v>
      </c>
      <c r="H72" s="21">
        <f t="shared" si="17"/>
        <v>0</v>
      </c>
      <c r="I72" s="21">
        <f t="shared" si="17"/>
        <v>0</v>
      </c>
      <c r="J72" s="21">
        <f t="shared" si="17"/>
        <v>0</v>
      </c>
      <c r="K72" s="21">
        <f t="shared" si="17"/>
        <v>0</v>
      </c>
      <c r="L72" s="21">
        <f t="shared" si="17"/>
        <v>0</v>
      </c>
      <c r="M72" s="21">
        <f t="shared" si="17"/>
        <v>0</v>
      </c>
      <c r="N72" s="21">
        <f t="shared" si="17"/>
        <v>0</v>
      </c>
      <c r="O72" s="21">
        <f t="shared" si="17"/>
        <v>0</v>
      </c>
      <c r="P72" s="21">
        <f t="shared" si="17"/>
        <v>0</v>
      </c>
      <c r="Q72" s="21">
        <f t="shared" si="17"/>
        <v>0</v>
      </c>
      <c r="R72" s="21">
        <f t="shared" si="17"/>
        <v>0</v>
      </c>
      <c r="S72" s="21">
        <f t="shared" si="17"/>
        <v>0</v>
      </c>
      <c r="T72" s="21" t="e">
        <f>#REF!-T71</f>
        <v>#REF!</v>
      </c>
      <c r="U72" s="21">
        <f t="shared" si="17"/>
        <v>0</v>
      </c>
      <c r="V72" s="21">
        <f t="shared" si="17"/>
        <v>0</v>
      </c>
      <c r="W72" s="21">
        <f t="shared" si="17"/>
        <v>0</v>
      </c>
      <c r="X72" s="21">
        <f t="shared" si="17"/>
        <v>0</v>
      </c>
      <c r="Y72" s="21">
        <f t="shared" si="17"/>
        <v>0</v>
      </c>
      <c r="Z72" s="21" t="e">
        <f>#REF!-Z71</f>
        <v>#REF!</v>
      </c>
      <c r="AA72" s="21">
        <f t="shared" ref="AA72" si="18">Z71-AA71</f>
        <v>0</v>
      </c>
      <c r="AB72" s="21">
        <f t="shared" ref="AB72" si="19">AA71-AB71</f>
        <v>0</v>
      </c>
      <c r="AC72" s="21">
        <f t="shared" ref="AC72" si="20">AB71-AC71</f>
        <v>0</v>
      </c>
      <c r="AD72" s="21">
        <f t="shared" ref="AD72" si="21">AC71-AD71</f>
        <v>0</v>
      </c>
      <c r="AE72" s="21">
        <f t="shared" ref="AE72" si="22">AD71-AE71</f>
        <v>0</v>
      </c>
      <c r="AF72" s="21">
        <f t="shared" ref="AF72" si="23">AE71-AF71</f>
        <v>0</v>
      </c>
    </row>
    <row r="73" spans="1:32" x14ac:dyDescent="0.25">
      <c r="A73" s="43"/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</row>
    <row r="74" spans="1:32" x14ac:dyDescent="0.25">
      <c r="A74" s="43"/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</row>
    <row r="75" spans="1:32" ht="27" thickBot="1" x14ac:dyDescent="0.45">
      <c r="A75" s="40" t="s">
        <v>97</v>
      </c>
      <c r="B75" s="40"/>
      <c r="C75" s="40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</row>
    <row r="76" spans="1:32" ht="15.75" thickBot="1" x14ac:dyDescent="0.3">
      <c r="A76" s="27" t="s">
        <v>98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 spans="1:32" ht="15.75" thickBot="1" x14ac:dyDescent="0.3">
      <c r="A77" s="27" t="s">
        <v>99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 spans="1:32" ht="15.75" thickBot="1" x14ac:dyDescent="0.3">
      <c r="A78" s="27" t="s">
        <v>100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 spans="1:32" ht="15.75" thickBot="1" x14ac:dyDescent="0.3">
      <c r="A79" s="27" t="s">
        <v>101</v>
      </c>
      <c r="B79" s="9"/>
      <c r="C79" s="9"/>
      <c r="D79" s="9"/>
      <c r="E79" s="48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 spans="1:32" ht="15.75" thickBot="1" x14ac:dyDescent="0.3">
      <c r="A80" s="27" t="s">
        <v>102</v>
      </c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 spans="1:32" ht="15.75" thickBot="1" x14ac:dyDescent="0.3">
      <c r="A81" s="27" t="s">
        <v>103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 spans="1:32" ht="15.75" thickBot="1" x14ac:dyDescent="0.3">
      <c r="A82" s="27" t="s">
        <v>67</v>
      </c>
      <c r="B82" s="9"/>
      <c r="C82" s="9"/>
      <c r="D82" s="9"/>
      <c r="E82" s="9"/>
      <c r="F82" s="9"/>
      <c r="G82" s="9"/>
      <c r="H82" s="9"/>
      <c r="I82" s="9"/>
      <c r="J82" s="9"/>
      <c r="K82" s="4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 spans="1:32" ht="15.75" thickBot="1" x14ac:dyDescent="0.3">
      <c r="A83" s="27" t="s">
        <v>104</v>
      </c>
      <c r="B83" s="9"/>
      <c r="C83" s="9"/>
      <c r="D83" s="9"/>
      <c r="E83" s="9"/>
      <c r="F83" s="9"/>
      <c r="G83" s="9"/>
      <c r="H83" s="9"/>
      <c r="I83" s="9"/>
      <c r="J83" s="9"/>
      <c r="K83" s="45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 spans="1:32" ht="15.75" thickBot="1" x14ac:dyDescent="0.3">
      <c r="A84" s="27" t="s">
        <v>105</v>
      </c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 spans="1:32" ht="15.75" thickBot="1" x14ac:dyDescent="0.3">
      <c r="A85" s="27" t="s">
        <v>106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 spans="1:32" x14ac:dyDescent="0.25">
      <c r="A86" s="43"/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</row>
    <row r="87" spans="1:32" ht="15.75" thickBot="1" x14ac:dyDescent="0.3">
      <c r="A87" s="43"/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</row>
    <row r="88" spans="1:32" ht="15.75" thickBot="1" x14ac:dyDescent="0.3">
      <c r="A88" s="27" t="s">
        <v>3</v>
      </c>
      <c r="B88" s="21">
        <f t="shared" ref="B88:AA88" si="24">SUM(B76:B87)</f>
        <v>0</v>
      </c>
      <c r="C88" s="21">
        <f t="shared" si="24"/>
        <v>0</v>
      </c>
      <c r="D88" s="21">
        <f t="shared" si="24"/>
        <v>0</v>
      </c>
      <c r="E88" s="21">
        <f t="shared" si="24"/>
        <v>0</v>
      </c>
      <c r="F88" s="21">
        <f t="shared" si="24"/>
        <v>0</v>
      </c>
      <c r="G88" s="21">
        <f t="shared" si="24"/>
        <v>0</v>
      </c>
      <c r="H88" s="21">
        <f t="shared" si="24"/>
        <v>0</v>
      </c>
      <c r="I88" s="21">
        <f t="shared" si="24"/>
        <v>0</v>
      </c>
      <c r="J88" s="21">
        <f t="shared" si="24"/>
        <v>0</v>
      </c>
      <c r="K88" s="21">
        <f t="shared" si="24"/>
        <v>0</v>
      </c>
      <c r="L88" s="21">
        <f t="shared" si="24"/>
        <v>0</v>
      </c>
      <c r="M88" s="21">
        <f t="shared" si="24"/>
        <v>0</v>
      </c>
      <c r="N88" s="21">
        <f t="shared" si="24"/>
        <v>0</v>
      </c>
      <c r="O88" s="21">
        <f t="shared" si="24"/>
        <v>0</v>
      </c>
      <c r="P88" s="21">
        <f t="shared" si="24"/>
        <v>0</v>
      </c>
      <c r="Q88" s="21">
        <f t="shared" si="24"/>
        <v>0</v>
      </c>
      <c r="R88" s="21">
        <f t="shared" si="24"/>
        <v>0</v>
      </c>
      <c r="S88" s="21">
        <f t="shared" si="24"/>
        <v>0</v>
      </c>
      <c r="T88" s="21">
        <f t="shared" si="24"/>
        <v>0</v>
      </c>
      <c r="U88" s="21">
        <f t="shared" si="24"/>
        <v>0</v>
      </c>
      <c r="V88" s="21">
        <f t="shared" si="24"/>
        <v>0</v>
      </c>
      <c r="W88" s="21">
        <f t="shared" si="24"/>
        <v>0</v>
      </c>
      <c r="X88" s="21">
        <f t="shared" si="24"/>
        <v>0</v>
      </c>
      <c r="Y88" s="21">
        <f t="shared" si="24"/>
        <v>0</v>
      </c>
      <c r="Z88" s="21">
        <f t="shared" si="24"/>
        <v>0</v>
      </c>
      <c r="AA88" s="21">
        <f t="shared" si="24"/>
        <v>0</v>
      </c>
      <c r="AB88" s="21">
        <f t="shared" ref="AB88:AF88" si="25">SUM(AB76:AB87)</f>
        <v>0</v>
      </c>
      <c r="AC88" s="21">
        <f t="shared" si="25"/>
        <v>0</v>
      </c>
      <c r="AD88" s="21">
        <f t="shared" si="25"/>
        <v>0</v>
      </c>
      <c r="AE88" s="21">
        <f t="shared" si="25"/>
        <v>0</v>
      </c>
      <c r="AF88" s="21">
        <f t="shared" si="25"/>
        <v>0</v>
      </c>
    </row>
    <row r="89" spans="1:32" ht="15.75" thickBot="1" x14ac:dyDescent="0.3">
      <c r="A89" s="27" t="s">
        <v>96</v>
      </c>
      <c r="B89" s="21"/>
      <c r="C89" s="21">
        <f>B88-C88</f>
        <v>0</v>
      </c>
      <c r="D89" s="21">
        <f t="shared" ref="D89:Y89" si="26">C88-D88</f>
        <v>0</v>
      </c>
      <c r="E89" s="21">
        <f t="shared" si="26"/>
        <v>0</v>
      </c>
      <c r="F89" s="21">
        <f t="shared" si="26"/>
        <v>0</v>
      </c>
      <c r="G89" s="21">
        <f t="shared" si="26"/>
        <v>0</v>
      </c>
      <c r="H89" s="21">
        <f t="shared" si="26"/>
        <v>0</v>
      </c>
      <c r="I89" s="21">
        <f t="shared" si="26"/>
        <v>0</v>
      </c>
      <c r="J89" s="21">
        <f t="shared" si="26"/>
        <v>0</v>
      </c>
      <c r="K89" s="21">
        <f t="shared" si="26"/>
        <v>0</v>
      </c>
      <c r="L89" s="21">
        <f t="shared" si="26"/>
        <v>0</v>
      </c>
      <c r="M89" s="21">
        <f t="shared" si="26"/>
        <v>0</v>
      </c>
      <c r="N89" s="21">
        <f t="shared" si="26"/>
        <v>0</v>
      </c>
      <c r="O89" s="21">
        <f t="shared" si="26"/>
        <v>0</v>
      </c>
      <c r="P89" s="21">
        <f t="shared" si="26"/>
        <v>0</v>
      </c>
      <c r="Q89" s="21">
        <f t="shared" si="26"/>
        <v>0</v>
      </c>
      <c r="R89" s="21">
        <f t="shared" si="26"/>
        <v>0</v>
      </c>
      <c r="S89" s="21">
        <f t="shared" si="26"/>
        <v>0</v>
      </c>
      <c r="T89" s="21" t="e">
        <f>#REF!-T88</f>
        <v>#REF!</v>
      </c>
      <c r="U89" s="21">
        <f t="shared" si="26"/>
        <v>0</v>
      </c>
      <c r="V89" s="21">
        <f t="shared" si="26"/>
        <v>0</v>
      </c>
      <c r="W89" s="21">
        <f t="shared" si="26"/>
        <v>0</v>
      </c>
      <c r="X89" s="21">
        <f t="shared" si="26"/>
        <v>0</v>
      </c>
      <c r="Y89" s="21">
        <f t="shared" si="26"/>
        <v>0</v>
      </c>
      <c r="Z89" s="21" t="e">
        <f>#REF!-Z88</f>
        <v>#REF!</v>
      </c>
      <c r="AA89" s="21">
        <f t="shared" ref="AA89" si="27">Z88-AA88</f>
        <v>0</v>
      </c>
      <c r="AB89" s="21">
        <f t="shared" ref="AB89" si="28">AA88-AB88</f>
        <v>0</v>
      </c>
      <c r="AC89" s="21">
        <f t="shared" ref="AC89" si="29">AB88-AC88</f>
        <v>0</v>
      </c>
      <c r="AD89" s="21">
        <f t="shared" ref="AD89" si="30">AC88-AD88</f>
        <v>0</v>
      </c>
      <c r="AE89" s="21">
        <f t="shared" ref="AE89" si="31">AD88-AE88</f>
        <v>0</v>
      </c>
      <c r="AF89" s="21">
        <f t="shared" ref="AF89" si="32">AE88-AF88</f>
        <v>0</v>
      </c>
    </row>
    <row r="90" spans="1:32" ht="15.75" thickBot="1" x14ac:dyDescent="0.3">
      <c r="A90" s="43"/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</row>
    <row r="91" spans="1:32" ht="15.75" thickBot="1" x14ac:dyDescent="0.3">
      <c r="A91" s="27" t="s">
        <v>107</v>
      </c>
      <c r="B91" s="21">
        <f t="shared" ref="B91:AA91" si="33">+B71+B88</f>
        <v>0</v>
      </c>
      <c r="C91" s="21">
        <f t="shared" si="33"/>
        <v>0</v>
      </c>
      <c r="D91" s="21">
        <f t="shared" si="33"/>
        <v>0</v>
      </c>
      <c r="E91" s="21">
        <f t="shared" si="33"/>
        <v>0</v>
      </c>
      <c r="F91" s="21">
        <f t="shared" si="33"/>
        <v>0</v>
      </c>
      <c r="G91" s="21">
        <f t="shared" si="33"/>
        <v>0</v>
      </c>
      <c r="H91" s="21">
        <f t="shared" si="33"/>
        <v>0</v>
      </c>
      <c r="I91" s="21">
        <f t="shared" si="33"/>
        <v>0</v>
      </c>
      <c r="J91" s="21">
        <f t="shared" si="33"/>
        <v>0</v>
      </c>
      <c r="K91" s="21">
        <f t="shared" si="33"/>
        <v>0</v>
      </c>
      <c r="L91" s="21">
        <f t="shared" si="33"/>
        <v>0</v>
      </c>
      <c r="M91" s="21">
        <f t="shared" si="33"/>
        <v>0</v>
      </c>
      <c r="N91" s="21">
        <f t="shared" si="33"/>
        <v>0</v>
      </c>
      <c r="O91" s="21">
        <f t="shared" si="33"/>
        <v>0</v>
      </c>
      <c r="P91" s="21">
        <f t="shared" si="33"/>
        <v>0</v>
      </c>
      <c r="Q91" s="21">
        <f t="shared" si="33"/>
        <v>0</v>
      </c>
      <c r="R91" s="21">
        <f t="shared" si="33"/>
        <v>0</v>
      </c>
      <c r="S91" s="21">
        <f t="shared" si="33"/>
        <v>0</v>
      </c>
      <c r="T91" s="21">
        <f t="shared" si="33"/>
        <v>0</v>
      </c>
      <c r="U91" s="21">
        <f t="shared" si="33"/>
        <v>0</v>
      </c>
      <c r="V91" s="21">
        <f t="shared" si="33"/>
        <v>0</v>
      </c>
      <c r="W91" s="21">
        <f t="shared" si="33"/>
        <v>0</v>
      </c>
      <c r="X91" s="21">
        <f t="shared" si="33"/>
        <v>0</v>
      </c>
      <c r="Y91" s="21">
        <f t="shared" si="33"/>
        <v>0</v>
      </c>
      <c r="Z91" s="21">
        <f t="shared" si="33"/>
        <v>0</v>
      </c>
      <c r="AA91" s="21">
        <f t="shared" si="33"/>
        <v>0</v>
      </c>
      <c r="AB91" s="21">
        <f t="shared" ref="AB91:AF91" si="34">+AB71+AB88</f>
        <v>0</v>
      </c>
      <c r="AC91" s="21">
        <f t="shared" si="34"/>
        <v>0</v>
      </c>
      <c r="AD91" s="21">
        <f t="shared" si="34"/>
        <v>0</v>
      </c>
      <c r="AE91" s="21">
        <f t="shared" si="34"/>
        <v>0</v>
      </c>
      <c r="AF91" s="21">
        <f t="shared" si="34"/>
        <v>0</v>
      </c>
    </row>
    <row r="92" spans="1:32" ht="15.75" thickBot="1" x14ac:dyDescent="0.3">
      <c r="A92" s="43"/>
      <c r="B92" s="43"/>
      <c r="C92" s="43"/>
      <c r="D92" s="43"/>
      <c r="E92" s="43"/>
      <c r="F92" s="43"/>
      <c r="G92" s="43"/>
      <c r="H92" s="43"/>
      <c r="I92" s="43"/>
      <c r="J92" s="43"/>
      <c r="K92" s="43"/>
      <c r="L92" s="43"/>
      <c r="M92" s="43"/>
      <c r="N92" s="43"/>
      <c r="O92" s="43"/>
      <c r="P92" s="43"/>
      <c r="Q92" s="43"/>
      <c r="R92" s="43"/>
      <c r="S92" s="43"/>
      <c r="T92" s="43"/>
      <c r="U92" s="43"/>
      <c r="V92" s="43"/>
      <c r="W92" s="43"/>
      <c r="X92" s="43"/>
      <c r="Y92" s="43"/>
    </row>
    <row r="93" spans="1:32" ht="15.75" thickBot="1" x14ac:dyDescent="0.3">
      <c r="A93" s="27" t="s">
        <v>96</v>
      </c>
      <c r="B93" s="21"/>
      <c r="C93" s="21">
        <f>B91-C91</f>
        <v>0</v>
      </c>
      <c r="D93" s="21">
        <f>C91-D91</f>
        <v>0</v>
      </c>
      <c r="E93" s="21">
        <f t="shared" ref="E93:Y93" si="35">D91-E91</f>
        <v>0</v>
      </c>
      <c r="F93" s="21">
        <f t="shared" si="35"/>
        <v>0</v>
      </c>
      <c r="G93" s="21">
        <f t="shared" si="35"/>
        <v>0</v>
      </c>
      <c r="H93" s="21">
        <f t="shared" si="35"/>
        <v>0</v>
      </c>
      <c r="I93" s="21">
        <f t="shared" si="35"/>
        <v>0</v>
      </c>
      <c r="J93" s="21">
        <f t="shared" si="35"/>
        <v>0</v>
      </c>
      <c r="K93" s="21">
        <f t="shared" si="35"/>
        <v>0</v>
      </c>
      <c r="L93" s="21">
        <f t="shared" si="35"/>
        <v>0</v>
      </c>
      <c r="M93" s="21">
        <f t="shared" si="35"/>
        <v>0</v>
      </c>
      <c r="N93" s="21">
        <f t="shared" si="35"/>
        <v>0</v>
      </c>
      <c r="O93" s="21">
        <f t="shared" si="35"/>
        <v>0</v>
      </c>
      <c r="P93" s="21">
        <f t="shared" si="35"/>
        <v>0</v>
      </c>
      <c r="Q93" s="21">
        <f t="shared" si="35"/>
        <v>0</v>
      </c>
      <c r="R93" s="21">
        <f t="shared" si="35"/>
        <v>0</v>
      </c>
      <c r="S93" s="21">
        <f t="shared" si="35"/>
        <v>0</v>
      </c>
      <c r="T93" s="21" t="e">
        <f>#REF!-T91</f>
        <v>#REF!</v>
      </c>
      <c r="U93" s="21">
        <f t="shared" si="35"/>
        <v>0</v>
      </c>
      <c r="V93" s="21">
        <f t="shared" si="35"/>
        <v>0</v>
      </c>
      <c r="W93" s="21">
        <f>V91-W91</f>
        <v>0</v>
      </c>
      <c r="X93" s="21">
        <f t="shared" si="35"/>
        <v>0</v>
      </c>
      <c r="Y93" s="21">
        <f t="shared" si="35"/>
        <v>0</v>
      </c>
      <c r="Z93" s="21" t="e">
        <f>#REF!-Z91</f>
        <v>#REF!</v>
      </c>
      <c r="AA93" s="21">
        <f t="shared" ref="AA93" si="36">Z91-AA91</f>
        <v>0</v>
      </c>
      <c r="AB93" s="21">
        <f t="shared" ref="AB93" si="37">AA91-AB91</f>
        <v>0</v>
      </c>
      <c r="AC93" s="21">
        <f t="shared" ref="AC93" si="38">AB91-AC91</f>
        <v>0</v>
      </c>
      <c r="AD93" s="21">
        <f t="shared" ref="AD93" si="39">AC91-AD91</f>
        <v>0</v>
      </c>
      <c r="AE93" s="21">
        <f t="shared" ref="AE93" si="40">AD91-AE91</f>
        <v>0</v>
      </c>
      <c r="AF93" s="21">
        <f t="shared" ref="AF93" si="41">AE91-AF91</f>
        <v>0</v>
      </c>
    </row>
  </sheetData>
  <mergeCells count="4">
    <mergeCell ref="A33:C33"/>
    <mergeCell ref="A38:C38"/>
    <mergeCell ref="A52:C52"/>
    <mergeCell ref="A75:C7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Total_Salable_Prod</vt:lpstr>
      <vt:lpstr>Product_Wise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2025-10-07T07:53:54Z</dcterms:modified>
</cp:coreProperties>
</file>